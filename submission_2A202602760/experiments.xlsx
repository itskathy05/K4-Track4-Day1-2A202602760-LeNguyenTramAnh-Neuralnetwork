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t="inlineStr">
        <is>
          <t>amp-bf16</t>
        </is>
      </c>
      <c r="B2" t="inlineStr">
        <is>
          <t>amp</t>
        </is>
      </c>
      <c r="C2" t="inlineStr">
        <is>
          <t>Mixed precision BF16</t>
        </is>
      </c>
      <c r="D2" t="inlineStr">
        <is>
          <t>ce</t>
        </is>
      </c>
      <c r="E2" t="inlineStr">
        <is>
          <t>sgd_momentum</t>
        </is>
      </c>
      <c r="F2" t="n">
        <v>0.1</v>
      </c>
      <c r="G2" t="n">
        <v>0</v>
      </c>
      <c r="H2" t="n">
        <v>512</v>
      </c>
      <c r="I2" t="n">
        <v>20</v>
      </c>
      <c r="J2" t="inlineStr">
        <is>
          <t>256-128</t>
        </is>
      </c>
      <c r="K2" t="n">
        <v>0</v>
      </c>
      <c r="M2" t="inlineStr">
        <is>
          <t>bf16</t>
        </is>
      </c>
      <c r="N2" t="inlineStr">
        <is>
          <t>he</t>
        </is>
      </c>
      <c r="O2" t="n">
        <v>1</v>
      </c>
      <c r="P2" t="n">
        <v>2.269061788393712</v>
      </c>
      <c r="Q2" t="n">
        <v>0.2310527039000983</v>
      </c>
      <c r="R2" t="n">
        <v>20</v>
      </c>
      <c r="S2" t="n">
        <v>0.2062742889404297</v>
      </c>
      <c r="T2" t="n">
        <v>0.2310527039000983</v>
      </c>
      <c r="U2" t="n">
        <v>0.9085002474129215</v>
      </c>
      <c r="V2" t="n">
        <v>0.8547247844345146</v>
      </c>
      <c r="W2" t="n">
        <v>1.652305411149985</v>
      </c>
      <c r="X2" t="n">
        <v>160.056640625</v>
      </c>
      <c r="Y2" t="b">
        <v>0</v>
      </c>
      <c r="AB2" t="inlineStr">
        <is>
          <t>figures/amp-bf16.png</t>
        </is>
      </c>
      <c r="AC2" t="inlineStr">
        <is>
          <t>grad_p95=0.7712</t>
        </is>
      </c>
      <c r="AD2" s="32">
        <f>IF(P2="","",P2-LN(7))</f>
        <v/>
      </c>
      <c r="AE2" s="32">
        <f>IF(OR(T2="",S2=""),"",T2-S2)</f>
        <v/>
      </c>
      <c r="AF2" s="32">
        <f>IF(OR(V2="",Seeds!$C$8=""),"",V2-Seeds!$C$8)</f>
        <v/>
      </c>
      <c r="AG2" s="32">
        <f>IF(OR(AF2="",Seeds!$C$10=""),"",IF(ABS(AF2)&gt;Seeds!$C$10,"Có","Không"))</f>
        <v/>
      </c>
    </row>
    <row r="3" ht="15" customHeight="1" s="20">
      <c r="A3" t="inlineStr">
        <is>
          <t>amp-fp16</t>
        </is>
      </c>
      <c r="B3" t="inlineStr">
        <is>
          <t>amp</t>
        </is>
      </c>
      <c r="C3" t="inlineStr">
        <is>
          <t>Mixed precision FP16</t>
        </is>
      </c>
      <c r="D3" t="inlineStr">
        <is>
          <t>ce</t>
        </is>
      </c>
      <c r="E3" t="inlineStr">
        <is>
          <t>sgd_momentum</t>
        </is>
      </c>
      <c r="F3" t="n">
        <v>0.1</v>
      </c>
      <c r="G3" t="n">
        <v>0</v>
      </c>
      <c r="H3" t="n">
        <v>512</v>
      </c>
      <c r="I3" t="n">
        <v>20</v>
      </c>
      <c r="J3" t="inlineStr">
        <is>
          <t>256-128</t>
        </is>
      </c>
      <c r="K3" t="n">
        <v>0</v>
      </c>
      <c r="M3" t="inlineStr">
        <is>
          <t>fp16</t>
        </is>
      </c>
      <c r="N3" t="inlineStr">
        <is>
          <t>he</t>
        </is>
      </c>
      <c r="O3" t="n">
        <v>1</v>
      </c>
      <c r="P3" t="n">
        <v>2.269061788393712</v>
      </c>
      <c r="Q3" t="n">
        <v>0.3067206124251374</v>
      </c>
      <c r="R3" t="n">
        <v>8</v>
      </c>
      <c r="S3" t="n">
        <v>0.2951250231933594</v>
      </c>
      <c r="T3" t="n">
        <v>0.3067206124251374</v>
      </c>
      <c r="U3" t="n">
        <v>0.8717217787913341</v>
      </c>
      <c r="V3" t="n">
        <v>0.8168083309955281</v>
      </c>
      <c r="W3" t="n">
        <v>1.920118735375041</v>
      </c>
      <c r="X3" t="n">
        <v>160.0576171875</v>
      </c>
      <c r="Y3" t="b">
        <v>1</v>
      </c>
      <c r="AB3" t="inlineStr">
        <is>
          <t>figures/amp-fp16.png</t>
        </is>
      </c>
      <c r="AC3" t="inlineStr">
        <is>
          <t>grad_p95=0.8168</t>
        </is>
      </c>
      <c r="AD3" s="32">
        <f>IF(P3="","",P3-LN(7))</f>
        <v/>
      </c>
      <c r="AE3" s="32">
        <f>IF(OR(T3="",S3=""),"",T3-S3)</f>
        <v/>
      </c>
      <c r="AF3" s="32">
        <f>IF(OR(V3="",Seeds!$C$8=""),"",V3-Seeds!$C$8)</f>
        <v/>
      </c>
      <c r="AG3" s="32">
        <f>IF(OR(AF3="",Seeds!$C$10=""),"",IF(ABS(AF3)&gt;Seeds!$C$10,"Có","Không"))</f>
        <v/>
      </c>
    </row>
    <row r="4" ht="15" customHeight="1" s="20">
      <c r="A4" t="inlineStr">
        <is>
          <t>arch-deep</t>
        </is>
      </c>
      <c r="B4" t="inlineStr">
        <is>
          <t>hparam</t>
        </is>
      </c>
      <c r="C4" t="inlineStr">
        <is>
          <t>M-deep 54-256-128-64-7</t>
        </is>
      </c>
      <c r="D4" t="inlineStr">
        <is>
          <t>ce</t>
        </is>
      </c>
      <c r="E4" t="inlineStr">
        <is>
          <t>sgd_momentum</t>
        </is>
      </c>
      <c r="F4" t="n">
        <v>0.1</v>
      </c>
      <c r="G4" t="n">
        <v>0</v>
      </c>
      <c r="H4" t="n">
        <v>512</v>
      </c>
      <c r="I4" t="n">
        <v>20</v>
      </c>
      <c r="J4" t="inlineStr">
        <is>
          <t>256-128-64</t>
        </is>
      </c>
      <c r="K4" t="n">
        <v>0</v>
      </c>
      <c r="M4" t="inlineStr">
        <is>
          <t>fp32</t>
        </is>
      </c>
      <c r="N4" t="inlineStr">
        <is>
          <t>he</t>
        </is>
      </c>
      <c r="O4" t="n">
        <v>1</v>
      </c>
      <c r="P4" t="n">
        <v>1.909942442459688</v>
      </c>
      <c r="Q4" t="n">
        <v>0.2000651507386755</v>
      </c>
      <c r="R4" t="n">
        <v>20</v>
      </c>
      <c r="S4" t="n">
        <v>0.1698693249511719</v>
      </c>
      <c r="T4" t="n">
        <v>0.2000651507386755</v>
      </c>
      <c r="U4" t="n">
        <v>0.9208278651492008</v>
      </c>
      <c r="V4" t="n">
        <v>0.8690677547070081</v>
      </c>
      <c r="W4" t="n">
        <v>1.469295187399985</v>
      </c>
      <c r="X4" t="n">
        <v>160.1494140625</v>
      </c>
      <c r="Y4" t="b">
        <v>0</v>
      </c>
      <c r="AB4" t="inlineStr">
        <is>
          <t>figures/arch-deep.png</t>
        </is>
      </c>
      <c r="AC4" t="inlineStr">
        <is>
          <t>grad_p95=0.7208</t>
        </is>
      </c>
      <c r="AD4" s="32">
        <f>IF(P4="","",P4-LN(7))</f>
        <v/>
      </c>
      <c r="AE4" s="32">
        <f>IF(OR(T4="",S4=""),"",T4-S4)</f>
        <v/>
      </c>
      <c r="AF4" s="32">
        <f>IF(OR(V4="",Seeds!$C$8=""),"",V4-Seeds!$C$8)</f>
        <v/>
      </c>
      <c r="AG4" s="32">
        <f>IF(OR(AF4="",Seeds!$C$10=""),"",IF(ABS(AF4)&gt;Seeds!$C$10,"Có","Không"))</f>
        <v/>
      </c>
    </row>
    <row r="5" ht="15" customHeight="1" s="20">
      <c r="A5" t="inlineStr">
        <is>
          <t>arch-wide</t>
        </is>
      </c>
      <c r="B5" t="inlineStr">
        <is>
          <t>hparam</t>
        </is>
      </c>
      <c r="C5" t="inlineStr">
        <is>
          <t>M-wide 54-512-256-7</t>
        </is>
      </c>
      <c r="D5" t="inlineStr">
        <is>
          <t>ce</t>
        </is>
      </c>
      <c r="E5" t="inlineStr">
        <is>
          <t>sgd_momentum</t>
        </is>
      </c>
      <c r="F5" t="n">
        <v>0.1</v>
      </c>
      <c r="G5" t="n">
        <v>0</v>
      </c>
      <c r="H5" t="n">
        <v>512</v>
      </c>
      <c r="I5" t="n">
        <v>20</v>
      </c>
      <c r="J5" t="inlineStr">
        <is>
          <t>512-256</t>
        </is>
      </c>
      <c r="K5" t="n">
        <v>0</v>
      </c>
      <c r="M5" t="inlineStr">
        <is>
          <t>fp32</t>
        </is>
      </c>
      <c r="N5" t="inlineStr">
        <is>
          <t>he</t>
        </is>
      </c>
      <c r="O5" t="n">
        <v>1</v>
      </c>
      <c r="P5" t="n">
        <v>1.918216562110056</v>
      </c>
      <c r="Q5" t="n">
        <v>0.2020987135641613</v>
      </c>
      <c r="R5" t="n">
        <v>19</v>
      </c>
      <c r="S5" t="n">
        <v>0.1742752526855469</v>
      </c>
      <c r="T5" t="n">
        <v>0.2043387947977904</v>
      </c>
      <c r="U5" t="n">
        <v>0.9208708934833588</v>
      </c>
      <c r="V5" t="n">
        <v>0.8724522967201161</v>
      </c>
      <c r="W5" t="n">
        <v>1.352625333299989</v>
      </c>
      <c r="X5" t="n">
        <v>177.3564453125</v>
      </c>
      <c r="Y5" t="b">
        <v>0</v>
      </c>
      <c r="AB5" t="inlineStr">
        <is>
          <t>figures/arch-wide.png</t>
        </is>
      </c>
      <c r="AC5" t="inlineStr">
        <is>
          <t>grad_p95=0.7228</t>
        </is>
      </c>
      <c r="AD5" s="32">
        <f>IF(P5="","",P5-LN(7))</f>
        <v/>
      </c>
      <c r="AE5" s="32">
        <f>IF(OR(T5="",S5=""),"",T5-S5)</f>
        <v/>
      </c>
      <c r="AF5" s="32">
        <f>IF(OR(V5="",Seeds!$C$8=""),"",V5-Seeds!$C$8)</f>
        <v/>
      </c>
      <c r="AG5" s="32">
        <f>IF(OR(AF5="",Seeds!$C$10=""),"",IF(ABS(AF5)&gt;Seeds!$C$10,"Có","Không"))</f>
        <v/>
      </c>
    </row>
    <row r="6" ht="15" customHeight="1" s="20">
      <c r="A6" t="inlineStr">
        <is>
          <t>base-lr0p01-s1</t>
        </is>
      </c>
      <c r="B6" t="inlineStr">
        <is>
          <t>baseline</t>
        </is>
      </c>
      <c r="C6" t="inlineStr">
        <is>
          <t>Dò learning rate baseline: 0.01</t>
        </is>
      </c>
      <c r="D6" t="inlineStr">
        <is>
          <t>ce</t>
        </is>
      </c>
      <c r="E6" t="inlineStr">
        <is>
          <t>sgd_momentum</t>
        </is>
      </c>
      <c r="F6" t="n">
        <v>0.01</v>
      </c>
      <c r="G6" t="n">
        <v>0</v>
      </c>
      <c r="H6" t="n">
        <v>512</v>
      </c>
      <c r="I6" t="n">
        <v>20</v>
      </c>
      <c r="J6" t="inlineStr">
        <is>
          <t>256-128</t>
        </is>
      </c>
      <c r="K6" t="n">
        <v>0</v>
      </c>
      <c r="M6" t="inlineStr">
        <is>
          <t>fp32</t>
        </is>
      </c>
      <c r="N6" t="inlineStr">
        <is>
          <t>he</t>
        </is>
      </c>
      <c r="O6" t="n">
        <v>1</v>
      </c>
      <c r="P6" t="n">
        <v>2.269061788393712</v>
      </c>
      <c r="Q6" t="n">
        <v>0.3171001843117013</v>
      </c>
      <c r="R6" t="n">
        <v>19</v>
      </c>
      <c r="S6" t="n">
        <v>0.318781884765625</v>
      </c>
      <c r="T6" t="n">
        <v>0.3293686236441873</v>
      </c>
      <c r="U6" t="n">
        <v>0.8715819367053205</v>
      </c>
      <c r="V6" t="n">
        <v>0.7637068422399647</v>
      </c>
      <c r="W6" t="n">
        <v>1.350268194150007</v>
      </c>
      <c r="X6" t="n">
        <v>161.1591796875</v>
      </c>
      <c r="Y6" t="b">
        <v>0</v>
      </c>
      <c r="AB6" t="inlineStr">
        <is>
          <t>figures/base-lr0p01-s1.png</t>
        </is>
      </c>
      <c r="AC6" t="inlineStr">
        <is>
          <t>grad_p95=1.919</t>
        </is>
      </c>
      <c r="AD6" s="32">
        <f>IF(P6="","",P6-LN(7))</f>
        <v/>
      </c>
      <c r="AE6" s="32">
        <f>IF(OR(T6="",S6=""),"",T6-S6)</f>
        <v/>
      </c>
      <c r="AF6" s="32">
        <f>IF(OR(V6="",Seeds!$C$8=""),"",V6-Seeds!$C$8)</f>
        <v/>
      </c>
      <c r="AG6" s="32">
        <f>IF(OR(AF6="",Seeds!$C$10=""),"",IF(ABS(AF6)&gt;Seeds!$C$10,"Có","Không"))</f>
        <v/>
      </c>
    </row>
    <row r="7" ht="15" customHeight="1" s="20">
      <c r="A7" t="inlineStr">
        <is>
          <t>base-lr0p03-s1</t>
        </is>
      </c>
      <c r="B7" t="inlineStr">
        <is>
          <t>baseline</t>
        </is>
      </c>
      <c r="C7" t="inlineStr">
        <is>
          <t>Dò learning rate baseline: 0.03</t>
        </is>
      </c>
      <c r="D7" t="inlineStr">
        <is>
          <t>ce</t>
        </is>
      </c>
      <c r="E7" t="inlineStr">
        <is>
          <t>sgd_momentum</t>
        </is>
      </c>
      <c r="F7" t="n">
        <v>0.03</v>
      </c>
      <c r="G7" t="n">
        <v>0</v>
      </c>
      <c r="H7" t="n">
        <v>512</v>
      </c>
      <c r="I7" t="n">
        <v>20</v>
      </c>
      <c r="J7" t="inlineStr">
        <is>
          <t>256-128</t>
        </is>
      </c>
      <c r="K7" t="n">
        <v>0</v>
      </c>
      <c r="M7" t="inlineStr">
        <is>
          <t>fp32</t>
        </is>
      </c>
      <c r="N7" t="inlineStr">
        <is>
          <t>he</t>
        </is>
      </c>
      <c r="O7" t="n">
        <v>1</v>
      </c>
      <c r="P7" t="n">
        <v>2.269061788393712</v>
      </c>
      <c r="Q7" t="n">
        <v>0.2584378657828602</v>
      </c>
      <c r="R7" t="n">
        <v>20</v>
      </c>
      <c r="S7" t="n">
        <v>0.2397655377197266</v>
      </c>
      <c r="T7" t="n">
        <v>0.2584378657828602</v>
      </c>
      <c r="U7" t="n">
        <v>0.8959144596716938</v>
      </c>
      <c r="V7" t="n">
        <v>0.8258462248177834</v>
      </c>
      <c r="W7" t="n">
        <v>1.357357462700003</v>
      </c>
      <c r="X7" t="n">
        <v>160.05859375</v>
      </c>
      <c r="Y7" t="b">
        <v>0</v>
      </c>
      <c r="AB7" t="inlineStr">
        <is>
          <t>figures/base-lr0p03-s1.png</t>
        </is>
      </c>
      <c r="AC7" t="inlineStr">
        <is>
          <t>grad_p95=1.485</t>
        </is>
      </c>
      <c r="AD7" s="32">
        <f>IF(P7="","",P7-LN(7))</f>
        <v/>
      </c>
      <c r="AE7" s="32">
        <f>IF(OR(T7="",S7=""),"",T7-S7)</f>
        <v/>
      </c>
      <c r="AF7" s="32">
        <f>IF(OR(V7="",Seeds!$C$8=""),"",V7-Seeds!$C$8)</f>
        <v/>
      </c>
      <c r="AG7" s="32">
        <f>IF(OR(AF7="",Seeds!$C$10=""),"",IF(ABS(AF7)&gt;Seeds!$C$10,"Có","Không"))</f>
        <v/>
      </c>
    </row>
    <row r="8" ht="15" customHeight="1" s="20">
      <c r="A8" t="inlineStr">
        <is>
          <t>base-lr0p1-s1</t>
        </is>
      </c>
      <c r="B8" t="inlineStr">
        <is>
          <t>baseline</t>
        </is>
      </c>
      <c r="C8" t="inlineStr">
        <is>
          <t>Dò learning rate baseline: 0.1</t>
        </is>
      </c>
      <c r="D8" t="inlineStr">
        <is>
          <t>ce</t>
        </is>
      </c>
      <c r="E8" t="inlineStr">
        <is>
          <t>sgd_momentum</t>
        </is>
      </c>
      <c r="F8" t="n">
        <v>0.1</v>
      </c>
      <c r="G8" t="n">
        <v>0</v>
      </c>
      <c r="H8" t="n">
        <v>512</v>
      </c>
      <c r="I8" t="n">
        <v>20</v>
      </c>
      <c r="J8" t="inlineStr">
        <is>
          <t>256-128</t>
        </is>
      </c>
      <c r="K8" t="n">
        <v>0</v>
      </c>
      <c r="M8" t="inlineStr">
        <is>
          <t>fp32</t>
        </is>
      </c>
      <c r="N8" t="inlineStr">
        <is>
          <t>he</t>
        </is>
      </c>
      <c r="O8" t="n">
        <v>1</v>
      </c>
      <c r="P8" t="n">
        <v>2.269061788393712</v>
      </c>
      <c r="Q8" t="n">
        <v>0.2314339526941284</v>
      </c>
      <c r="R8" t="n">
        <v>20</v>
      </c>
      <c r="S8" t="n">
        <v>0.2063028228759766</v>
      </c>
      <c r="T8" t="n">
        <v>0.2314339526941284</v>
      </c>
      <c r="U8" t="n">
        <v>0.9084572190787633</v>
      </c>
      <c r="V8" t="n">
        <v>0.8583715512810027</v>
      </c>
      <c r="W8" t="n">
        <v>1.350956476200017</v>
      </c>
      <c r="X8" t="n">
        <v>160.05859375</v>
      </c>
      <c r="Y8" t="b">
        <v>0</v>
      </c>
      <c r="AB8" t="inlineStr">
        <is>
          <t>figures/base-lr0p1-s1.png</t>
        </is>
      </c>
      <c r="AC8" t="inlineStr">
        <is>
          <t>grad_p95=0.7801</t>
        </is>
      </c>
      <c r="AD8" s="32">
        <f>IF(P8="","",P8-LN(7))</f>
        <v/>
      </c>
      <c r="AE8" s="32">
        <f>IF(OR(T8="",S8=""),"",T8-S8)</f>
        <v/>
      </c>
      <c r="AF8" s="32">
        <f>IF(OR(V8="",Seeds!$C$8=""),"",V8-Seeds!$C$8)</f>
        <v/>
      </c>
      <c r="AG8" s="32">
        <f>IF(OR(AF8="",Seeds!$C$10=""),"",IF(ABS(AF8)&gt;Seeds!$C$10,"Có","Không"))</f>
        <v/>
      </c>
    </row>
    <row r="9" ht="15" customHeight="1" s="20">
      <c r="A9" t="inlineStr">
        <is>
          <t>base-s1</t>
        </is>
      </c>
      <c r="B9" t="inlineStr">
        <is>
          <t>baseline</t>
        </is>
      </c>
      <c r="C9" t="inlineStr">
        <is>
          <t>Baseline chính thức, seed 1</t>
        </is>
      </c>
      <c r="D9" t="inlineStr">
        <is>
          <t>ce</t>
        </is>
      </c>
      <c r="E9" t="inlineStr">
        <is>
          <t>sgd_momentum</t>
        </is>
      </c>
      <c r="F9" t="n">
        <v>0.1</v>
      </c>
      <c r="G9" t="n">
        <v>0</v>
      </c>
      <c r="H9" t="n">
        <v>512</v>
      </c>
      <c r="I9" t="n">
        <v>20</v>
      </c>
      <c r="J9" t="inlineStr">
        <is>
          <t>256-128</t>
        </is>
      </c>
      <c r="K9" t="n">
        <v>0</v>
      </c>
      <c r="M9" t="inlineStr">
        <is>
          <t>fp32</t>
        </is>
      </c>
      <c r="N9" t="inlineStr">
        <is>
          <t>he</t>
        </is>
      </c>
      <c r="O9" t="n">
        <v>1</v>
      </c>
      <c r="P9" t="n">
        <v>2.269061788393712</v>
      </c>
      <c r="Q9" t="n">
        <v>0.2314339526941284</v>
      </c>
      <c r="R9" t="n">
        <v>20</v>
      </c>
      <c r="S9" t="n">
        <v>0.2063028228759766</v>
      </c>
      <c r="T9" t="n">
        <v>0.2314339526941284</v>
      </c>
      <c r="U9" t="n">
        <v>0.9084572190787633</v>
      </c>
      <c r="V9" t="n">
        <v>0.8583715512810027</v>
      </c>
      <c r="W9" t="n">
        <v>1.332080058499986</v>
      </c>
      <c r="X9" t="n">
        <v>160.05859375</v>
      </c>
      <c r="Y9" t="b">
        <v>0</v>
      </c>
      <c r="Z9" t="n">
        <v>0.9063535364835675</v>
      </c>
      <c r="AA9" t="n">
        <v>0.8618057842901915</v>
      </c>
      <c r="AB9" t="inlineStr">
        <is>
          <t>figures/base-s1.png</t>
        </is>
      </c>
      <c r="AC9" t="inlineStr">
        <is>
          <t>grad_p95=0.7801</t>
        </is>
      </c>
      <c r="AD9" s="32">
        <f>IF(P9="","",P9-LN(7))</f>
        <v/>
      </c>
      <c r="AE9" s="32">
        <f>IF(OR(T9="",S9=""),"",T9-S9)</f>
        <v/>
      </c>
      <c r="AF9" s="32">
        <f>IF(OR(V9="",Seeds!$C$8=""),"",V9-Seeds!$C$8)</f>
        <v/>
      </c>
      <c r="AG9" s="32">
        <f>IF(OR(AF9="",Seeds!$C$10=""),"",IF(ABS(AF9)&gt;Seeds!$C$10,"Có","Không"))</f>
        <v/>
      </c>
    </row>
    <row r="10" ht="15" customHeight="1" s="20">
      <c r="A10" t="inlineStr">
        <is>
          <t>base-s2</t>
        </is>
      </c>
      <c r="B10" t="inlineStr">
        <is>
          <t>baseline</t>
        </is>
      </c>
      <c r="C10" t="inlineStr">
        <is>
          <t>Baseline chính thức, seed 2</t>
        </is>
      </c>
      <c r="D10" t="inlineStr">
        <is>
          <t>ce</t>
        </is>
      </c>
      <c r="E10" t="inlineStr">
        <is>
          <t>sgd_momentum</t>
        </is>
      </c>
      <c r="F10" t="n">
        <v>0.1</v>
      </c>
      <c r="G10" t="n">
        <v>0</v>
      </c>
      <c r="H10" t="n">
        <v>512</v>
      </c>
      <c r="I10" t="n">
        <v>20</v>
      </c>
      <c r="J10" t="inlineStr">
        <is>
          <t>256-128</t>
        </is>
      </c>
      <c r="K10" t="n">
        <v>0</v>
      </c>
      <c r="M10" t="inlineStr">
        <is>
          <t>fp32</t>
        </is>
      </c>
      <c r="N10" t="inlineStr">
        <is>
          <t>he</t>
        </is>
      </c>
      <c r="O10" t="n">
        <v>2</v>
      </c>
      <c r="P10" t="n">
        <v>1.978156701881548</v>
      </c>
      <c r="Q10" t="n">
        <v>0.2261094464915352</v>
      </c>
      <c r="R10" t="n">
        <v>20</v>
      </c>
      <c r="S10" t="n">
        <v>0.2035479949951172</v>
      </c>
      <c r="T10" t="n">
        <v>0.2261094464915352</v>
      </c>
      <c r="U10" t="n">
        <v>0.9097588261870442</v>
      </c>
      <c r="V10" t="n">
        <v>0.8552070258410341</v>
      </c>
      <c r="W10" t="n">
        <v>1.342793420800001</v>
      </c>
      <c r="X10" t="n">
        <v>160.05859375</v>
      </c>
      <c r="Y10" t="b">
        <v>0</v>
      </c>
      <c r="AB10" t="inlineStr">
        <is>
          <t>figures/base-s2.png</t>
        </is>
      </c>
      <c r="AC10" t="inlineStr">
        <is>
          <t>grad_p95=0.7174</t>
        </is>
      </c>
      <c r="AD10" s="32">
        <f>IF(P10="","",P10-LN(7))</f>
        <v/>
      </c>
      <c r="AE10" s="32">
        <f>IF(OR(T10="",S10=""),"",T10-S10)</f>
        <v/>
      </c>
      <c r="AF10" s="32">
        <f>IF(OR(V10="",Seeds!$C$8=""),"",V10-Seeds!$C$8)</f>
        <v/>
      </c>
      <c r="AG10" s="32">
        <f>IF(OR(AF10="",Seeds!$C$10=""),"",IF(ABS(AF10)&gt;Seeds!$C$10,"Có","Không"))</f>
        <v/>
      </c>
    </row>
    <row r="11" ht="15" customHeight="1" s="20">
      <c r="A11" t="inlineStr">
        <is>
          <t>base-s3</t>
        </is>
      </c>
      <c r="B11" t="inlineStr">
        <is>
          <t>baseline</t>
        </is>
      </c>
      <c r="C11" t="inlineStr">
        <is>
          <t>Baseline chính thức, seed 3</t>
        </is>
      </c>
      <c r="D11" t="inlineStr">
        <is>
          <t>ce</t>
        </is>
      </c>
      <c r="E11" t="inlineStr">
        <is>
          <t>sgd_momentum</t>
        </is>
      </c>
      <c r="F11" t="n">
        <v>0.1</v>
      </c>
      <c r="G11" t="n">
        <v>0</v>
      </c>
      <c r="H11" t="n">
        <v>512</v>
      </c>
      <c r="I11" t="n">
        <v>20</v>
      </c>
      <c r="J11" t="inlineStr">
        <is>
          <t>256-128</t>
        </is>
      </c>
      <c r="K11" t="n">
        <v>0</v>
      </c>
      <c r="M11" t="inlineStr">
        <is>
          <t>fp32</t>
        </is>
      </c>
      <c r="N11" t="inlineStr">
        <is>
          <t>he</t>
        </is>
      </c>
      <c r="O11" t="n">
        <v>3</v>
      </c>
      <c r="P11" t="n">
        <v>1.900539953068861</v>
      </c>
      <c r="Q11" t="n">
        <v>0.2275235552028735</v>
      </c>
      <c r="R11" t="n">
        <v>19</v>
      </c>
      <c r="S11" t="n">
        <v>0.2334404827880859</v>
      </c>
      <c r="T11" t="n">
        <v>0.2531549132800482</v>
      </c>
      <c r="U11" t="n">
        <v>0.909038101589897</v>
      </c>
      <c r="V11" t="n">
        <v>0.855099769934097</v>
      </c>
      <c r="W11" t="n">
        <v>1.340416230599988</v>
      </c>
      <c r="X11" t="n">
        <v>160.05859375</v>
      </c>
      <c r="Y11" t="b">
        <v>0</v>
      </c>
      <c r="AB11" t="inlineStr">
        <is>
          <t>figures/base-s3.png</t>
        </is>
      </c>
      <c r="AC11" t="inlineStr">
        <is>
          <t>grad_p95=0.7863</t>
        </is>
      </c>
      <c r="AD11" s="32">
        <f>IF(P11="","",P11-LN(7))</f>
        <v/>
      </c>
      <c r="AE11" s="32">
        <f>IF(OR(T11="",S11=""),"",T11-S11)</f>
        <v/>
      </c>
      <c r="AF11" s="32">
        <f>IF(OR(V11="",Seeds!$C$8=""),"",V11-Seeds!$C$8)</f>
        <v/>
      </c>
      <c r="AG11" s="32">
        <f>IF(OR(AF11="",Seeds!$C$10=""),"",IF(ABS(AF11)&gt;Seeds!$C$10,"Có","Không"))</f>
        <v/>
      </c>
    </row>
    <row r="12" ht="15" customHeight="1" s="20">
      <c r="A12" t="inlineStr">
        <is>
          <t>batch-128</t>
        </is>
      </c>
      <c r="B12" t="inlineStr">
        <is>
          <t>hparam</t>
        </is>
      </c>
      <c r="C12" t="inlineStr">
        <is>
          <t>Batch size 128</t>
        </is>
      </c>
      <c r="D12" t="inlineStr">
        <is>
          <t>ce</t>
        </is>
      </c>
      <c r="E12" t="inlineStr">
        <is>
          <t>sgd_momentum</t>
        </is>
      </c>
      <c r="F12" t="n">
        <v>0.1</v>
      </c>
      <c r="G12" t="n">
        <v>0</v>
      </c>
      <c r="H12" t="n">
        <v>128</v>
      </c>
      <c r="I12" t="n">
        <v>20</v>
      </c>
      <c r="J12" t="inlineStr">
        <is>
          <t>256-128</t>
        </is>
      </c>
      <c r="K12" t="n">
        <v>0</v>
      </c>
      <c r="M12" t="inlineStr">
        <is>
          <t>fp32</t>
        </is>
      </c>
      <c r="N12" t="inlineStr">
        <is>
          <t>he</t>
        </is>
      </c>
      <c r="O12" t="n">
        <v>1</v>
      </c>
      <c r="P12" t="n">
        <v>2.269061788393712</v>
      </c>
      <c r="Q12" t="n">
        <v>0.2262833581467596</v>
      </c>
      <c r="R12" t="n">
        <v>18</v>
      </c>
      <c r="S12" t="n">
        <v>0.1998769561767578</v>
      </c>
      <c r="T12" t="n">
        <v>0.2292526880995814</v>
      </c>
      <c r="U12" t="n">
        <v>0.9115767733052215</v>
      </c>
      <c r="V12" t="n">
        <v>0.856256090661753</v>
      </c>
      <c r="W12" t="n">
        <v>5.262201847599977</v>
      </c>
      <c r="X12" t="n">
        <v>160.02783203125</v>
      </c>
      <c r="Y12" t="b">
        <v>0</v>
      </c>
      <c r="AB12" t="inlineStr">
        <is>
          <t>figures/batch-128.png</t>
        </is>
      </c>
      <c r="AC12" t="inlineStr">
        <is>
          <t>grad_p95=0.7598</t>
        </is>
      </c>
      <c r="AD12" s="32">
        <f>IF(P12="","",P12-LN(7))</f>
        <v/>
      </c>
      <c r="AE12" s="32">
        <f>IF(OR(T12="",S12=""),"",T12-S12)</f>
        <v/>
      </c>
      <c r="AF12" s="32">
        <f>IF(OR(V12="",Seeds!$C$8=""),"",V12-Seeds!$C$8)</f>
        <v/>
      </c>
      <c r="AG12" s="32">
        <f>IF(OR(AF12="",Seeds!$C$10=""),"",IF(ABS(AF12)&gt;Seeds!$C$10,"Có","Không"))</f>
        <v/>
      </c>
    </row>
    <row r="13" ht="15" customHeight="1" s="20">
      <c r="A13" t="inlineStr">
        <is>
          <t>batch-2048</t>
        </is>
      </c>
      <c r="B13" t="inlineStr">
        <is>
          <t>hparam</t>
        </is>
      </c>
      <c r="C13" t="inlineStr">
        <is>
          <t>Batch size 2048</t>
        </is>
      </c>
      <c r="D13" t="inlineStr">
        <is>
          <t>ce</t>
        </is>
      </c>
      <c r="E13" t="inlineStr">
        <is>
          <t>sgd_momentum</t>
        </is>
      </c>
      <c r="F13" t="n">
        <v>0.1</v>
      </c>
      <c r="G13" t="n">
        <v>0</v>
      </c>
      <c r="H13" t="n">
        <v>2048</v>
      </c>
      <c r="I13" t="n">
        <v>20</v>
      </c>
      <c r="J13" t="inlineStr">
        <is>
          <t>256-128</t>
        </is>
      </c>
      <c r="K13" t="n">
        <v>0</v>
      </c>
      <c r="M13" t="inlineStr">
        <is>
          <t>fp32</t>
        </is>
      </c>
      <c r="N13" t="inlineStr">
        <is>
          <t>he</t>
        </is>
      </c>
      <c r="O13" t="n">
        <v>1</v>
      </c>
      <c r="P13" t="n">
        <v>2.269061788393712</v>
      </c>
      <c r="Q13" t="n">
        <v>0.2892347695979776</v>
      </c>
      <c r="R13" t="n">
        <v>18</v>
      </c>
      <c r="S13" t="n">
        <v>0.2767112286376953</v>
      </c>
      <c r="T13" t="n">
        <v>0.2929729079962192</v>
      </c>
      <c r="U13" t="n">
        <v>0.8830382306748994</v>
      </c>
      <c r="V13" t="n">
        <v>0.8090019165202146</v>
      </c>
      <c r="W13" t="n">
        <v>0.3487814227000058</v>
      </c>
      <c r="X13" t="n">
        <v>160.3046875</v>
      </c>
      <c r="Y13" t="b">
        <v>0</v>
      </c>
      <c r="AB13" t="inlineStr">
        <is>
          <t>figures/batch-2048.png</t>
        </is>
      </c>
      <c r="AC13" t="inlineStr">
        <is>
          <t>grad_p95=1.353</t>
        </is>
      </c>
      <c r="AD13" s="32">
        <f>IF(P13="","",P13-LN(7))</f>
        <v/>
      </c>
      <c r="AE13" s="32">
        <f>IF(OR(T13="",S13=""),"",T13-S13)</f>
        <v/>
      </c>
      <c r="AF13" s="32">
        <f>IF(OR(V13="",Seeds!$C$8=""),"",V13-Seeds!$C$8)</f>
        <v/>
      </c>
      <c r="AG13" s="32">
        <f>IF(OR(AF13="",Seeds!$C$10=""),"",IF(ABS(AF13)&gt;Seeds!$C$10,"Có","Không"))</f>
        <v/>
      </c>
    </row>
    <row r="14" ht="15" customHeight="1" s="20">
      <c r="A14" t="inlineStr">
        <is>
          <t>candidate-a-s1</t>
        </is>
      </c>
      <c r="B14" t="inlineStr">
        <is>
          <t>final</t>
        </is>
      </c>
      <c r="C14" t="inlineStr">
        <is>
          <t>Candidate A, seed 1</t>
        </is>
      </c>
      <c r="D14" t="inlineStr">
        <is>
          <t>ce</t>
        </is>
      </c>
      <c r="E14" t="inlineStr">
        <is>
          <t>adamw</t>
        </is>
      </c>
      <c r="F14" t="n">
        <v>0.003</v>
      </c>
      <c r="G14" t="n">
        <v>0.01</v>
      </c>
      <c r="H14" t="n">
        <v>512</v>
      </c>
      <c r="I14" t="n">
        <v>20</v>
      </c>
      <c r="J14" t="inlineStr">
        <is>
          <t>256-128</t>
        </is>
      </c>
      <c r="K14" t="n">
        <v>0</v>
      </c>
      <c r="M14" t="inlineStr">
        <is>
          <t>fp32</t>
        </is>
      </c>
      <c r="N14" t="inlineStr">
        <is>
          <t>he</t>
        </is>
      </c>
      <c r="O14" t="n">
        <v>1</v>
      </c>
      <c r="P14" t="n">
        <v>2.269061788393712</v>
      </c>
      <c r="Q14" t="n">
        <v>0.2131461969959416</v>
      </c>
      <c r="R14" t="n">
        <v>20</v>
      </c>
      <c r="S14" t="n">
        <v>0.1893568292236328</v>
      </c>
      <c r="T14" t="n">
        <v>0.2131461969959416</v>
      </c>
      <c r="U14" t="n">
        <v>0.9136851616789656</v>
      </c>
      <c r="V14" t="n">
        <v>0.8757280429905576</v>
      </c>
      <c r="W14" t="n">
        <v>1.505379356149967</v>
      </c>
      <c r="X14" t="n">
        <v>160.24169921875</v>
      </c>
      <c r="Y14" t="b">
        <v>0</v>
      </c>
      <c r="AB14" t="inlineStr">
        <is>
          <t>figures/candidate-a-s1.png</t>
        </is>
      </c>
      <c r="AC14" t="inlineStr">
        <is>
          <t>grad_p95=0.9464</t>
        </is>
      </c>
      <c r="AD14" s="32">
        <f>IF(P14="","",P14-LN(7))</f>
        <v/>
      </c>
      <c r="AE14" s="32">
        <f>IF(OR(T14="",S14=""),"",T14-S14)</f>
        <v/>
      </c>
      <c r="AF14" s="32">
        <f>IF(OR(V14="",Seeds!$C$8=""),"",V14-Seeds!$C$8)</f>
        <v/>
      </c>
      <c r="AG14" s="32">
        <f>IF(OR(AF14="",Seeds!$C$10=""),"",IF(ABS(AF14)&gt;Seeds!$C$10,"Có","Không"))</f>
        <v/>
      </c>
    </row>
    <row r="15" ht="15" customHeight="1" s="20">
      <c r="A15" t="inlineStr">
        <is>
          <t>candidate-a-s2</t>
        </is>
      </c>
      <c r="B15" t="inlineStr">
        <is>
          <t>final</t>
        </is>
      </c>
      <c r="C15" t="inlineStr">
        <is>
          <t>Candidate A, seed 2</t>
        </is>
      </c>
      <c r="D15" t="inlineStr">
        <is>
          <t>ce</t>
        </is>
      </c>
      <c r="E15" t="inlineStr">
        <is>
          <t>adamw</t>
        </is>
      </c>
      <c r="F15" t="n">
        <v>0.003</v>
      </c>
      <c r="G15" t="n">
        <v>0.01</v>
      </c>
      <c r="H15" t="n">
        <v>512</v>
      </c>
      <c r="I15" t="n">
        <v>20</v>
      </c>
      <c r="J15" t="inlineStr">
        <is>
          <t>256-128</t>
        </is>
      </c>
      <c r="K15" t="n">
        <v>0</v>
      </c>
      <c r="M15" t="inlineStr">
        <is>
          <t>fp32</t>
        </is>
      </c>
      <c r="N15" t="inlineStr">
        <is>
          <t>he</t>
        </is>
      </c>
      <c r="O15" t="n">
        <v>2</v>
      </c>
      <c r="P15" t="n">
        <v>1.978156701881548</v>
      </c>
      <c r="Q15" t="n">
        <v>0.2215274475863206</v>
      </c>
      <c r="R15" t="n">
        <v>20</v>
      </c>
      <c r="S15" t="n">
        <v>0.1997001538085937</v>
      </c>
      <c r="T15" t="n">
        <v>0.2215274475863206</v>
      </c>
      <c r="U15" t="n">
        <v>0.9104042511994148</v>
      </c>
      <c r="V15" t="n">
        <v>0.8675229913450362</v>
      </c>
      <c r="W15" t="n">
        <v>1.496856845649972</v>
      </c>
      <c r="X15" t="n">
        <v>160.24169921875</v>
      </c>
      <c r="Y15" t="b">
        <v>0</v>
      </c>
      <c r="AB15" t="inlineStr">
        <is>
          <t>figures/candidate-a-s2.png</t>
        </is>
      </c>
      <c r="AC15" t="inlineStr">
        <is>
          <t>grad_p95=0.948</t>
        </is>
      </c>
      <c r="AD15" s="32">
        <f>IF(P15="","",P15-LN(7))</f>
        <v/>
      </c>
      <c r="AE15" s="32">
        <f>IF(OR(T15="",S15=""),"",T15-S15)</f>
        <v/>
      </c>
      <c r="AF15" s="32">
        <f>IF(OR(V15="",Seeds!$C$8=""),"",V15-Seeds!$C$8)</f>
        <v/>
      </c>
      <c r="AG15" s="32">
        <f>IF(OR(AF15="",Seeds!$C$10=""),"",IF(ABS(AF15)&gt;Seeds!$C$10,"Có","Không"))</f>
        <v/>
      </c>
    </row>
    <row r="16" ht="15" customHeight="1" s="20">
      <c r="A16" t="inlineStr">
        <is>
          <t>candidate-a-s3</t>
        </is>
      </c>
      <c r="B16" t="inlineStr">
        <is>
          <t>final</t>
        </is>
      </c>
      <c r="C16" t="inlineStr">
        <is>
          <t>Candidate A, seed 3</t>
        </is>
      </c>
      <c r="D16" t="inlineStr">
        <is>
          <t>ce</t>
        </is>
      </c>
      <c r="E16" t="inlineStr">
        <is>
          <t>adamw</t>
        </is>
      </c>
      <c r="F16" t="n">
        <v>0.003</v>
      </c>
      <c r="G16" t="n">
        <v>0.01</v>
      </c>
      <c r="H16" t="n">
        <v>512</v>
      </c>
      <c r="I16" t="n">
        <v>20</v>
      </c>
      <c r="J16" t="inlineStr">
        <is>
          <t>256-128</t>
        </is>
      </c>
      <c r="K16" t="n">
        <v>0</v>
      </c>
      <c r="M16" t="inlineStr">
        <is>
          <t>fp32</t>
        </is>
      </c>
      <c r="N16" t="inlineStr">
        <is>
          <t>he</t>
        </is>
      </c>
      <c r="O16" t="n">
        <v>3</v>
      </c>
      <c r="P16" t="n">
        <v>1.900539953068861</v>
      </c>
      <c r="Q16" t="n">
        <v>0.2160206474234768</v>
      </c>
      <c r="R16" t="n">
        <v>18</v>
      </c>
      <c r="S16" t="n">
        <v>0.1947212670898437</v>
      </c>
      <c r="T16" t="n">
        <v>0.22063508500218</v>
      </c>
      <c r="U16" t="n">
        <v>0.9127277812439492</v>
      </c>
      <c r="V16" t="n">
        <v>0.8620182326550268</v>
      </c>
      <c r="W16" t="n">
        <v>1.511265676099947</v>
      </c>
      <c r="X16" t="n">
        <v>160.24169921875</v>
      </c>
      <c r="Y16" t="b">
        <v>0</v>
      </c>
      <c r="AB16" t="inlineStr">
        <is>
          <t>figures/candidate-a-s3.png</t>
        </is>
      </c>
      <c r="AC16" t="inlineStr">
        <is>
          <t>grad_p95=0.9413</t>
        </is>
      </c>
      <c r="AD16" s="32">
        <f>IF(P16="","",P16-LN(7))</f>
        <v/>
      </c>
      <c r="AE16" s="32">
        <f>IF(OR(T16="",S16=""),"",T16-S16)</f>
        <v/>
      </c>
      <c r="AF16" s="32">
        <f>IF(OR(V16="",Seeds!$C$8=""),"",V16-Seeds!$C$8)</f>
        <v/>
      </c>
      <c r="AG16" s="32">
        <f>IF(OR(AF16="",Seeds!$C$10=""),"",IF(ABS(AF16)&gt;Seeds!$C$10,"Có","Không"))</f>
        <v/>
      </c>
    </row>
    <row r="17" ht="15" customHeight="1" s="20">
      <c r="A17" t="inlineStr">
        <is>
          <t>candidate-b-s1</t>
        </is>
      </c>
      <c r="B17" t="inlineStr">
        <is>
          <t>final</t>
        </is>
      </c>
      <c r="C17" t="inlineStr">
        <is>
          <t>Candidate B, seed 1</t>
        </is>
      </c>
      <c r="D17" t="inlineStr">
        <is>
          <t>ce</t>
        </is>
      </c>
      <c r="E17" t="inlineStr">
        <is>
          <t>adamw</t>
        </is>
      </c>
      <c r="F17" t="n">
        <v>0.003</v>
      </c>
      <c r="G17" t="n">
        <v>0.01</v>
      </c>
      <c r="H17" t="n">
        <v>512</v>
      </c>
      <c r="I17" t="n">
        <v>40</v>
      </c>
      <c r="J17" t="inlineStr">
        <is>
          <t>256-128</t>
        </is>
      </c>
      <c r="K17" t="n">
        <v>0</v>
      </c>
      <c r="M17" t="inlineStr">
        <is>
          <t>fp32</t>
        </is>
      </c>
      <c r="N17" t="inlineStr">
        <is>
          <t>he</t>
        </is>
      </c>
      <c r="O17" t="n">
        <v>1</v>
      </c>
      <c r="P17" t="n">
        <v>2.269061788393712</v>
      </c>
      <c r="Q17" t="n">
        <v>0.1911645714760299</v>
      </c>
      <c r="R17" t="n">
        <v>33</v>
      </c>
      <c r="S17" t="n">
        <v>0.1691313830566406</v>
      </c>
      <c r="T17" t="n">
        <v>0.2007398872279466</v>
      </c>
      <c r="U17" t="n">
        <v>0.924517544803253</v>
      </c>
      <c r="V17" t="n">
        <v>0.8852567822210368</v>
      </c>
      <c r="W17" t="n">
        <v>1.495773788674995</v>
      </c>
      <c r="X17" t="n">
        <v>160.24169921875</v>
      </c>
      <c r="Y17" t="b">
        <v>0</v>
      </c>
      <c r="Z17" t="n">
        <v>0.9227042331093001</v>
      </c>
      <c r="AA17" t="n">
        <v>0.8860096046507657</v>
      </c>
      <c r="AB17" t="inlineStr">
        <is>
          <t>figures/candidate-b-s1.png</t>
        </is>
      </c>
      <c r="AC17" t="inlineStr">
        <is>
          <t>grad_p95=0.9053</t>
        </is>
      </c>
      <c r="AD17" s="32">
        <f>IF(P17="","",P17-LN(7))</f>
        <v/>
      </c>
      <c r="AE17" s="32">
        <f>IF(OR(T17="",S17=""),"",T17-S17)</f>
        <v/>
      </c>
      <c r="AF17" s="32">
        <f>IF(OR(V17="",Seeds!$C$8=""),"",V17-Seeds!$C$8)</f>
        <v/>
      </c>
      <c r="AG17" s="32">
        <f>IF(OR(AF17="",Seeds!$C$10=""),"",IF(ABS(AF17)&gt;Seeds!$C$10,"Có","Không"))</f>
        <v/>
      </c>
    </row>
    <row r="18" ht="15" customHeight="1" s="20">
      <c r="A18" t="inlineStr">
        <is>
          <t>candidate-b-s2</t>
        </is>
      </c>
      <c r="B18" t="inlineStr">
        <is>
          <t>final</t>
        </is>
      </c>
      <c r="C18" t="inlineStr">
        <is>
          <t>Candidate B, seed 2</t>
        </is>
      </c>
      <c r="D18" t="inlineStr">
        <is>
          <t>ce</t>
        </is>
      </c>
      <c r="E18" t="inlineStr">
        <is>
          <t>adamw</t>
        </is>
      </c>
      <c r="F18" t="n">
        <v>0.003</v>
      </c>
      <c r="G18" t="n">
        <v>0.01</v>
      </c>
      <c r="H18" t="n">
        <v>512</v>
      </c>
      <c r="I18" t="n">
        <v>40</v>
      </c>
      <c r="J18" t="inlineStr">
        <is>
          <t>256-128</t>
        </is>
      </c>
      <c r="K18" t="n">
        <v>0</v>
      </c>
      <c r="M18" t="inlineStr">
        <is>
          <t>fp32</t>
        </is>
      </c>
      <c r="N18" t="inlineStr">
        <is>
          <t>he</t>
        </is>
      </c>
      <c r="O18" t="n">
        <v>2</v>
      </c>
      <c r="P18" t="n">
        <v>1.978156701881548</v>
      </c>
      <c r="Q18" t="n">
        <v>0.1882055593679239</v>
      </c>
      <c r="R18" t="n">
        <v>40</v>
      </c>
      <c r="S18" t="n">
        <v>0.1588431994628906</v>
      </c>
      <c r="T18" t="n">
        <v>0.1882055593679239</v>
      </c>
      <c r="U18" t="n">
        <v>0.9261095931671005</v>
      </c>
      <c r="V18" t="n">
        <v>0.8866345429223761</v>
      </c>
      <c r="W18" t="n">
        <v>1.501366502124989</v>
      </c>
      <c r="X18" t="n">
        <v>160.24169921875</v>
      </c>
      <c r="Y18" t="b">
        <v>0</v>
      </c>
      <c r="AB18" t="inlineStr">
        <is>
          <t>figures/candidate-b-s2.png</t>
        </is>
      </c>
      <c r="AC18" t="inlineStr">
        <is>
          <t>grad_p95=0.9245</t>
        </is>
      </c>
      <c r="AD18" s="32">
        <f>IF(P18="","",P18-LN(7))</f>
        <v/>
      </c>
      <c r="AE18" s="32">
        <f>IF(OR(T18="",S18=""),"",T18-S18)</f>
        <v/>
      </c>
      <c r="AF18" s="32">
        <f>IF(OR(V18="",Seeds!$C$8=""),"",V18-Seeds!$C$8)</f>
        <v/>
      </c>
      <c r="AG18" s="32">
        <f>IF(OR(AF18="",Seeds!$C$10=""),"",IF(ABS(AF18)&gt;Seeds!$C$10,"Có","Không"))</f>
        <v/>
      </c>
    </row>
    <row r="19" ht="15" customHeight="1" s="20">
      <c r="A19" t="inlineStr">
        <is>
          <t>candidate-b-s3</t>
        </is>
      </c>
      <c r="B19" t="inlineStr">
        <is>
          <t>final</t>
        </is>
      </c>
      <c r="C19" t="inlineStr">
        <is>
          <t>Candidate B, seed 3</t>
        </is>
      </c>
      <c r="D19" t="inlineStr">
        <is>
          <t>ce</t>
        </is>
      </c>
      <c r="E19" t="inlineStr">
        <is>
          <t>adamw</t>
        </is>
      </c>
      <c r="F19" t="n">
        <v>0.003</v>
      </c>
      <c r="G19" t="n">
        <v>0.01</v>
      </c>
      <c r="H19" t="n">
        <v>512</v>
      </c>
      <c r="I19" t="n">
        <v>40</v>
      </c>
      <c r="J19" t="inlineStr">
        <is>
          <t>256-128</t>
        </is>
      </c>
      <c r="K19" t="n">
        <v>0</v>
      </c>
      <c r="M19" t="inlineStr">
        <is>
          <t>fp32</t>
        </is>
      </c>
      <c r="N19" t="inlineStr">
        <is>
          <t>he</t>
        </is>
      </c>
      <c r="O19" t="n">
        <v>3</v>
      </c>
      <c r="P19" t="n">
        <v>1.900539953068861</v>
      </c>
      <c r="Q19" t="n">
        <v>0.1887314247542847</v>
      </c>
      <c r="R19" t="n">
        <v>38</v>
      </c>
      <c r="S19" t="n">
        <v>0.1648398461914062</v>
      </c>
      <c r="T19" t="n">
        <v>0.1962220185041166</v>
      </c>
      <c r="U19" t="n">
        <v>0.9255502248230459</v>
      </c>
      <c r="V19" t="n">
        <v>0.8820206949886593</v>
      </c>
      <c r="W19" t="n">
        <v>1.506285360899983</v>
      </c>
      <c r="X19" t="n">
        <v>160.24169921875</v>
      </c>
      <c r="Y19" t="b">
        <v>0</v>
      </c>
      <c r="AB19" t="inlineStr">
        <is>
          <t>figures/candidate-b-s3.png</t>
        </is>
      </c>
      <c r="AC19" t="inlineStr">
        <is>
          <t>grad_p95=0.9056</t>
        </is>
      </c>
      <c r="AD19" s="32">
        <f>IF(P19="","",P19-LN(7))</f>
        <v/>
      </c>
      <c r="AE19" s="32">
        <f>IF(OR(T19="",S19=""),"",T19-S19)</f>
        <v/>
      </c>
      <c r="AF19" s="32">
        <f>IF(OR(V19="",Seeds!$C$8=""),"",V19-Seeds!$C$8)</f>
        <v/>
      </c>
      <c r="AG19" s="32">
        <f>IF(OR(AF19="",Seeds!$C$10=""),"",IF(ABS(AF19)&gt;Seeds!$C$10,"Có","Không"))</f>
        <v/>
      </c>
    </row>
    <row r="20" ht="15" customHeight="1" s="20">
      <c r="A20" t="inlineStr">
        <is>
          <t>clip-normal</t>
        </is>
      </c>
      <c r="B20" t="inlineStr">
        <is>
          <t>clipping</t>
        </is>
      </c>
      <c r="C20" t="inlineStr">
        <is>
          <t>Clip c=0.6289 ở lr baseline</t>
        </is>
      </c>
      <c r="D20" t="inlineStr">
        <is>
          <t>ce</t>
        </is>
      </c>
      <c r="E20" t="inlineStr">
        <is>
          <t>sgd_momentum</t>
        </is>
      </c>
      <c r="F20" t="n">
        <v>0.1</v>
      </c>
      <c r="G20" t="n">
        <v>0</v>
      </c>
      <c r="H20" t="n">
        <v>512</v>
      </c>
      <c r="I20" t="n">
        <v>20</v>
      </c>
      <c r="J20" t="inlineStr">
        <is>
          <t>256-128</t>
        </is>
      </c>
      <c r="K20" t="n">
        <v>0</v>
      </c>
      <c r="L20" t="n">
        <v>0.62885682284832</v>
      </c>
      <c r="M20" t="inlineStr">
        <is>
          <t>fp32</t>
        </is>
      </c>
      <c r="N20" t="inlineStr">
        <is>
          <t>he</t>
        </is>
      </c>
      <c r="O20" t="n">
        <v>1</v>
      </c>
      <c r="P20" t="n">
        <v>2.269061788393712</v>
      </c>
      <c r="Q20" t="n">
        <v>0.2365671680910278</v>
      </c>
      <c r="R20" t="n">
        <v>18</v>
      </c>
      <c r="S20" t="n">
        <v>0.2181842175292969</v>
      </c>
      <c r="T20" t="n">
        <v>0.2431502616030273</v>
      </c>
      <c r="U20" t="n">
        <v>0.9052193369333706</v>
      </c>
      <c r="V20" t="n">
        <v>0.8506530651134584</v>
      </c>
      <c r="W20" t="n">
        <v>1.327774603750015</v>
      </c>
      <c r="X20" t="n">
        <v>160.05859375</v>
      </c>
      <c r="Y20" t="b">
        <v>0</v>
      </c>
      <c r="AB20" t="inlineStr">
        <is>
          <t>figures/clip-normal.png</t>
        </is>
      </c>
      <c r="AC20" t="inlineStr">
        <is>
          <t>grad_p95=0.8097</t>
        </is>
      </c>
      <c r="AD20" s="32">
        <f>IF(P20="","",P20-LN(7))</f>
        <v/>
      </c>
      <c r="AE20" s="32">
        <f>IF(OR(T20="",S20=""),"",T20-S20)</f>
        <v/>
      </c>
      <c r="AF20" s="32">
        <f>IF(OR(V20="",Seeds!$C$8=""),"",V20-Seeds!$C$8)</f>
        <v/>
      </c>
      <c r="AG20" s="32">
        <f>IF(OR(AF20="",Seeds!$C$10=""),"",IF(ABS(AF20)&gt;Seeds!$C$10,"Có","Không"))</f>
        <v/>
      </c>
    </row>
    <row r="21" ht="15" customHeight="1" s="20">
      <c r="A21" t="inlineStr">
        <is>
          <t>drop-0p1</t>
        </is>
      </c>
      <c r="B21" t="inlineStr">
        <is>
          <t>dropout</t>
        </is>
      </c>
      <c r="C21" t="inlineStr">
        <is>
          <t>Dropout q=0.1</t>
        </is>
      </c>
      <c r="D21" t="inlineStr">
        <is>
          <t>ce</t>
        </is>
      </c>
      <c r="E21" t="inlineStr">
        <is>
          <t>sgd_momentum</t>
        </is>
      </c>
      <c r="F21" t="n">
        <v>0.1</v>
      </c>
      <c r="G21" t="n">
        <v>0</v>
      </c>
      <c r="H21" t="n">
        <v>512</v>
      </c>
      <c r="I21" t="n">
        <v>20</v>
      </c>
      <c r="J21" t="inlineStr">
        <is>
          <t>256-128</t>
        </is>
      </c>
      <c r="K21" t="n">
        <v>0.1</v>
      </c>
      <c r="M21" t="inlineStr">
        <is>
          <t>fp32</t>
        </is>
      </c>
      <c r="N21" t="inlineStr">
        <is>
          <t>he</t>
        </is>
      </c>
      <c r="O21" t="n">
        <v>1</v>
      </c>
      <c r="P21" t="n">
        <v>2.269061788393712</v>
      </c>
      <c r="Q21" t="n">
        <v>0.2506953038964342</v>
      </c>
      <c r="R21" t="n">
        <v>19</v>
      </c>
      <c r="S21" t="n">
        <v>0.2398910125732422</v>
      </c>
      <c r="T21" t="n">
        <v>0.2521429884436567</v>
      </c>
      <c r="U21" t="n">
        <v>0.8972913663647512</v>
      </c>
      <c r="V21" t="n">
        <v>0.8368335608020018</v>
      </c>
      <c r="W21" t="n">
        <v>1.486626783650002</v>
      </c>
      <c r="X21" t="n">
        <v>160.05859375</v>
      </c>
      <c r="Y21" t="b">
        <v>0</v>
      </c>
      <c r="AB21" t="inlineStr">
        <is>
          <t>figures/drop-0p1.png</t>
        </is>
      </c>
      <c r="AC21" t="inlineStr">
        <is>
          <t>grad_p95=0.4472</t>
        </is>
      </c>
      <c r="AD21" s="32">
        <f>IF(P21="","",P21-LN(7))</f>
        <v/>
      </c>
      <c r="AE21" s="32">
        <f>IF(OR(T21="",S21=""),"",T21-S21)</f>
        <v/>
      </c>
      <c r="AF21" s="32">
        <f>IF(OR(V21="",Seeds!$C$8=""),"",V21-Seeds!$C$8)</f>
        <v/>
      </c>
      <c r="AG21" s="32">
        <f>IF(OR(AF21="",Seeds!$C$10=""),"",IF(ABS(AF21)&gt;Seeds!$C$10,"Có","Không"))</f>
        <v/>
      </c>
    </row>
    <row r="22" ht="15" customHeight="1" s="20">
      <c r="A22" t="inlineStr">
        <is>
          <t>drop-0p3</t>
        </is>
      </c>
      <c r="B22" t="inlineStr">
        <is>
          <t>dropout</t>
        </is>
      </c>
      <c r="C22" t="inlineStr">
        <is>
          <t>Dropout q=0.3</t>
        </is>
      </c>
      <c r="D22" t="inlineStr">
        <is>
          <t>ce</t>
        </is>
      </c>
      <c r="E22" t="inlineStr">
        <is>
          <t>sgd_momentum</t>
        </is>
      </c>
      <c r="F22" t="n">
        <v>0.1</v>
      </c>
      <c r="G22" t="n">
        <v>0</v>
      </c>
      <c r="H22" t="n">
        <v>512</v>
      </c>
      <c r="I22" t="n">
        <v>20</v>
      </c>
      <c r="J22" t="inlineStr">
        <is>
          <t>256-128</t>
        </is>
      </c>
      <c r="K22" t="n">
        <v>0.3</v>
      </c>
      <c r="M22" t="inlineStr">
        <is>
          <t>fp32</t>
        </is>
      </c>
      <c r="N22" t="inlineStr">
        <is>
          <t>he</t>
        </is>
      </c>
      <c r="O22" t="n">
        <v>1</v>
      </c>
      <c r="P22" t="n">
        <v>2.269061788393712</v>
      </c>
      <c r="Q22" t="n">
        <v>0.3214053432639983</v>
      </c>
      <c r="R22" t="n">
        <v>18</v>
      </c>
      <c r="S22" t="n">
        <v>0.3215268914794922</v>
      </c>
      <c r="T22" t="n">
        <v>0.3259052708217638</v>
      </c>
      <c r="U22" t="n">
        <v>0.8690325079064564</v>
      </c>
      <c r="V22" t="n">
        <v>0.7768760739888683</v>
      </c>
      <c r="W22" t="n">
        <v>1.47421956820001</v>
      </c>
      <c r="X22" t="n">
        <v>160.05859375</v>
      </c>
      <c r="Y22" t="b">
        <v>0</v>
      </c>
      <c r="AB22" t="inlineStr">
        <is>
          <t>figures/drop-0p3.png</t>
        </is>
      </c>
      <c r="AC22" t="inlineStr">
        <is>
          <t>grad_p95=0.4128</t>
        </is>
      </c>
      <c r="AD22" s="32">
        <f>IF(P22="","",P22-LN(7))</f>
        <v/>
      </c>
      <c r="AE22" s="32">
        <f>IF(OR(T22="",S22=""),"",T22-S22)</f>
        <v/>
      </c>
      <c r="AF22" s="32">
        <f>IF(OR(V22="",Seeds!$C$8=""),"",V22-Seeds!$C$8)</f>
        <v/>
      </c>
      <c r="AG22" s="32">
        <f>IF(OR(AF22="",Seeds!$C$10=""),"",IF(ABS(AF22)&gt;Seeds!$C$10,"Có","Không"))</f>
        <v/>
      </c>
    </row>
    <row r="23" ht="15" customHeight="1" s="20">
      <c r="A23" t="inlineStr">
        <is>
          <t>drop-0p5</t>
        </is>
      </c>
      <c r="B23" t="inlineStr">
        <is>
          <t>dropout</t>
        </is>
      </c>
      <c r="C23" t="inlineStr">
        <is>
          <t>Dropout q=0.5</t>
        </is>
      </c>
      <c r="D23" t="inlineStr">
        <is>
          <t>ce</t>
        </is>
      </c>
      <c r="E23" t="inlineStr">
        <is>
          <t>sgd_momentum</t>
        </is>
      </c>
      <c r="F23" t="n">
        <v>0.1</v>
      </c>
      <c r="G23" t="n">
        <v>0</v>
      </c>
      <c r="H23" t="n">
        <v>512</v>
      </c>
      <c r="I23" t="n">
        <v>20</v>
      </c>
      <c r="J23" t="inlineStr">
        <is>
          <t>256-128</t>
        </is>
      </c>
      <c r="K23" t="n">
        <v>0.5</v>
      </c>
      <c r="M23" t="inlineStr">
        <is>
          <t>fp32</t>
        </is>
      </c>
      <c r="N23" t="inlineStr">
        <is>
          <t>he</t>
        </is>
      </c>
      <c r="O23" t="n">
        <v>1</v>
      </c>
      <c r="P23" t="n">
        <v>2.269061788393712</v>
      </c>
      <c r="Q23" t="n">
        <v>0.4048097930177452</v>
      </c>
      <c r="R23" t="n">
        <v>18</v>
      </c>
      <c r="S23" t="n">
        <v>0.4048773693847657</v>
      </c>
      <c r="T23" t="n">
        <v>0.4079953052893924</v>
      </c>
      <c r="U23" t="n">
        <v>0.8278328779501302</v>
      </c>
      <c r="V23" t="n">
        <v>0.6629585737474877</v>
      </c>
      <c r="W23" t="n">
        <v>1.46495655389997</v>
      </c>
      <c r="X23" t="n">
        <v>160.05859375</v>
      </c>
      <c r="Y23" t="b">
        <v>0</v>
      </c>
      <c r="AB23" t="inlineStr">
        <is>
          <t>figures/drop-0p5.png</t>
        </is>
      </c>
      <c r="AC23" t="inlineStr">
        <is>
          <t>grad_p95=0.4098</t>
        </is>
      </c>
      <c r="AD23" s="32">
        <f>IF(P23="","",P23-LN(7))</f>
        <v/>
      </c>
      <c r="AE23" s="32">
        <f>IF(OR(T23="",S23=""),"",T23-S23)</f>
        <v/>
      </c>
      <c r="AF23" s="32">
        <f>IF(OR(V23="",Seeds!$C$8=""),"",V23-Seeds!$C$8)</f>
        <v/>
      </c>
      <c r="AG23" s="32">
        <f>IF(OR(AF23="",Seeds!$C$10=""),"",IF(ABS(AF23)&gt;Seeds!$C$10,"Có","Không"))</f>
        <v/>
      </c>
    </row>
    <row r="24" ht="15" customHeight="1" s="20">
      <c r="A24" t="inlineStr">
        <is>
          <t>epochs-40</t>
        </is>
      </c>
      <c r="B24" t="inlineStr">
        <is>
          <t>hparam</t>
        </is>
      </c>
      <c r="C24" t="inlineStr">
        <is>
          <t>Baseline 40 epoch</t>
        </is>
      </c>
      <c r="D24" t="inlineStr">
        <is>
          <t>ce</t>
        </is>
      </c>
      <c r="E24" t="inlineStr">
        <is>
          <t>sgd_momentum</t>
        </is>
      </c>
      <c r="F24" t="n">
        <v>0.1</v>
      </c>
      <c r="G24" t="n">
        <v>0</v>
      </c>
      <c r="H24" t="n">
        <v>512</v>
      </c>
      <c r="I24" t="n">
        <v>40</v>
      </c>
      <c r="J24" t="inlineStr">
        <is>
          <t>256-128</t>
        </is>
      </c>
      <c r="K24" t="n">
        <v>0</v>
      </c>
      <c r="M24" t="inlineStr">
        <is>
          <t>fp32</t>
        </is>
      </c>
      <c r="N24" t="inlineStr">
        <is>
          <t>he</t>
        </is>
      </c>
      <c r="O24" t="n">
        <v>1</v>
      </c>
      <c r="P24" t="n">
        <v>2.269061788393712</v>
      </c>
      <c r="Q24" t="n">
        <v>0.2008636133854592</v>
      </c>
      <c r="R24" t="n">
        <v>36</v>
      </c>
      <c r="S24" t="n">
        <v>0.1957849948120117</v>
      </c>
      <c r="T24" t="n">
        <v>0.2281975806373673</v>
      </c>
      <c r="U24" t="n">
        <v>0.922667326434457</v>
      </c>
      <c r="V24" t="n">
        <v>0.8742958875384107</v>
      </c>
      <c r="W24" t="n">
        <v>1.337209122174977</v>
      </c>
      <c r="X24" t="n">
        <v>160.05859375</v>
      </c>
      <c r="Y24" t="b">
        <v>0</v>
      </c>
      <c r="AB24" t="inlineStr">
        <is>
          <t>figures/epochs-40.png</t>
        </is>
      </c>
      <c r="AC24" t="inlineStr">
        <is>
          <t>grad_p95=0.7463</t>
        </is>
      </c>
      <c r="AD24" s="32">
        <f>IF(P24="","",P24-LN(7))</f>
        <v/>
      </c>
      <c r="AE24" s="32">
        <f>IF(OR(T24="",S24=""),"",T24-S24)</f>
        <v/>
      </c>
      <c r="AF24" s="32">
        <f>IF(OR(V24="",Seeds!$C$8=""),"",V24-Seeds!$C$8)</f>
        <v/>
      </c>
      <c r="AG24" s="32">
        <f>IF(OR(AF24="",Seeds!$C$10=""),"",IF(ABS(AF24)&gt;Seeds!$C$10,"Có","Không"))</f>
        <v/>
      </c>
    </row>
    <row r="25" ht="15" customHeight="1" s="20">
      <c r="A25" t="inlineStr">
        <is>
          <t>highlr-clip</t>
        </is>
      </c>
      <c r="B25" t="inlineStr">
        <is>
          <t>clipping</t>
        </is>
      </c>
      <c r="C25" t="inlineStr">
        <is>
          <t>Learning rate x10, clip c=0.6289</t>
        </is>
      </c>
      <c r="D25" t="inlineStr">
        <is>
          <t>ce</t>
        </is>
      </c>
      <c r="E25" t="inlineStr">
        <is>
          <t>sgd_momentum</t>
        </is>
      </c>
      <c r="F25" t="n">
        <v>1</v>
      </c>
      <c r="G25" t="n">
        <v>0</v>
      </c>
      <c r="H25" t="n">
        <v>512</v>
      </c>
      <c r="I25" t="n">
        <v>20</v>
      </c>
      <c r="J25" t="inlineStr">
        <is>
          <t>256-128</t>
        </is>
      </c>
      <c r="K25" t="n">
        <v>0</v>
      </c>
      <c r="L25" t="n">
        <v>0.62885682284832</v>
      </c>
      <c r="M25" t="inlineStr">
        <is>
          <t>fp32</t>
        </is>
      </c>
      <c r="N25" t="inlineStr">
        <is>
          <t>he</t>
        </is>
      </c>
      <c r="O25" t="n">
        <v>1</v>
      </c>
      <c r="P25" t="n">
        <v>2.269061788393712</v>
      </c>
      <c r="Q25" t="n">
        <v>0.2986522338155476</v>
      </c>
      <c r="R25" t="n">
        <v>17</v>
      </c>
      <c r="S25" t="n">
        <v>0.2931171105957031</v>
      </c>
      <c r="T25" t="n">
        <v>0.3168408180539327</v>
      </c>
      <c r="U25" t="n">
        <v>0.8794991501904004</v>
      </c>
      <c r="V25" t="n">
        <v>0.8025882084708267</v>
      </c>
      <c r="W25" t="n">
        <v>1.324787083899969</v>
      </c>
      <c r="X25" t="n">
        <v>160.05859375</v>
      </c>
      <c r="Y25" t="b">
        <v>0</v>
      </c>
      <c r="AB25" t="inlineStr">
        <is>
          <t>figures/highlr-clip.png</t>
        </is>
      </c>
      <c r="AC25" t="inlineStr">
        <is>
          <t>grad_p95=0.3119</t>
        </is>
      </c>
      <c r="AD25" s="32">
        <f>IF(P25="","",P25-LN(7))</f>
        <v/>
      </c>
      <c r="AE25" s="32">
        <f>IF(OR(T25="",S25=""),"",T25-S25)</f>
        <v/>
      </c>
      <c r="AF25" s="32">
        <f>IF(OR(V25="",Seeds!$C$8=""),"",V25-Seeds!$C$8)</f>
        <v/>
      </c>
      <c r="AG25" s="32">
        <f>IF(OR(AF25="",Seeds!$C$10=""),"",IF(ABS(AF25)&gt;Seeds!$C$10,"Có","Không"))</f>
        <v/>
      </c>
    </row>
    <row r="26" ht="15" customHeight="1" s="20">
      <c r="A26" t="inlineStr">
        <is>
          <t>highlr-no-clip</t>
        </is>
      </c>
      <c r="B26" t="inlineStr">
        <is>
          <t>clipping</t>
        </is>
      </c>
      <c r="C26" t="inlineStr">
        <is>
          <t>Learning rate x10, không clip</t>
        </is>
      </c>
      <c r="D26" t="inlineStr">
        <is>
          <t>ce</t>
        </is>
      </c>
      <c r="E26" t="inlineStr">
        <is>
          <t>sgd_momentum</t>
        </is>
      </c>
      <c r="F26" t="n">
        <v>1</v>
      </c>
      <c r="G26" t="n">
        <v>0</v>
      </c>
      <c r="H26" t="n">
        <v>512</v>
      </c>
      <c r="I26" t="n">
        <v>20</v>
      </c>
      <c r="J26" t="inlineStr">
        <is>
          <t>256-128</t>
        </is>
      </c>
      <c r="K26" t="n">
        <v>0</v>
      </c>
      <c r="M26" t="inlineStr">
        <is>
          <t>fp32</t>
        </is>
      </c>
      <c r="N26" t="inlineStr">
        <is>
          <t>he</t>
        </is>
      </c>
      <c r="O26" t="n">
        <v>1</v>
      </c>
      <c r="P26" t="n">
        <v>2.269061788393712</v>
      </c>
      <c r="Q26" t="n">
        <v>0.3581985227750989</v>
      </c>
      <c r="R26" t="n">
        <v>15</v>
      </c>
      <c r="S26" t="n">
        <v>0.3985829956054687</v>
      </c>
      <c r="T26" t="n">
        <v>0.4107854658523106</v>
      </c>
      <c r="U26" t="n">
        <v>0.8578128697747467</v>
      </c>
      <c r="V26" t="n">
        <v>0.7669600765882739</v>
      </c>
      <c r="W26" t="n">
        <v>1.341254976399989</v>
      </c>
      <c r="X26" t="n">
        <v>160.05859375</v>
      </c>
      <c r="Y26" t="b">
        <v>0</v>
      </c>
      <c r="AB26" t="inlineStr">
        <is>
          <t>figures/highlr-no-clip.png</t>
        </is>
      </c>
      <c r="AC26" t="inlineStr">
        <is>
          <t>grad_p95=0.3345</t>
        </is>
      </c>
      <c r="AD26" s="32">
        <f>IF(P26="","",P26-LN(7))</f>
        <v/>
      </c>
      <c r="AE26" s="32">
        <f>IF(OR(T26="",S26=""),"",T26-S26)</f>
        <v/>
      </c>
      <c r="AF26" s="32">
        <f>IF(OR(V26="",Seeds!$C$8=""),"",V26-Seeds!$C$8)</f>
        <v/>
      </c>
      <c r="AG26" s="32">
        <f>IF(OR(AF26="",Seeds!$C$10=""),"",IF(ABS(AF26)&gt;Seeds!$C$10,"Có","Không"))</f>
        <v/>
      </c>
    </row>
    <row r="27" ht="15" customHeight="1" s="20">
      <c r="A27" t="inlineStr">
        <is>
          <t>init-default</t>
        </is>
      </c>
      <c r="B27" t="inlineStr">
        <is>
          <t>init</t>
        </is>
      </c>
      <c r="C27" t="inlineStr">
        <is>
          <t>Khởi tạo default</t>
        </is>
      </c>
      <c r="D27" t="inlineStr">
        <is>
          <t>ce</t>
        </is>
      </c>
      <c r="E27" t="inlineStr">
        <is>
          <t>sgd_momentum</t>
        </is>
      </c>
      <c r="F27" t="n">
        <v>0.1</v>
      </c>
      <c r="G27" t="n">
        <v>0</v>
      </c>
      <c r="H27" t="n">
        <v>512</v>
      </c>
      <c r="I27" t="n">
        <v>20</v>
      </c>
      <c r="J27" t="inlineStr">
        <is>
          <t>256-128</t>
        </is>
      </c>
      <c r="K27" t="n">
        <v>0</v>
      </c>
      <c r="M27" t="inlineStr">
        <is>
          <t>fp32</t>
        </is>
      </c>
      <c r="N27" t="inlineStr">
        <is>
          <t>default</t>
        </is>
      </c>
      <c r="O27" t="n">
        <v>1</v>
      </c>
      <c r="P27" t="n">
        <v>1.98303583764401</v>
      </c>
      <c r="Q27" t="n">
        <v>0.2405875400848431</v>
      </c>
      <c r="R27" t="n">
        <v>20</v>
      </c>
      <c r="S27" t="n">
        <v>0.2191400668334961</v>
      </c>
      <c r="T27" t="n">
        <v>0.2405875400848431</v>
      </c>
      <c r="U27" t="n">
        <v>0.9044663410856049</v>
      </c>
      <c r="V27" t="n">
        <v>0.8510429192373772</v>
      </c>
      <c r="W27" t="n">
        <v>1.328138483299983</v>
      </c>
      <c r="X27" t="n">
        <v>160.05859375</v>
      </c>
      <c r="Y27" t="b">
        <v>0</v>
      </c>
      <c r="AB27" t="inlineStr">
        <is>
          <t>figures/init-default.png</t>
        </is>
      </c>
      <c r="AC27" t="inlineStr">
        <is>
          <t>grad_p95=0.8439</t>
        </is>
      </c>
      <c r="AD27" s="32">
        <f>IF(P27="","",P27-LN(7))</f>
        <v/>
      </c>
      <c r="AE27" s="32">
        <f>IF(OR(T27="",S27=""),"",T27-S27)</f>
        <v/>
      </c>
      <c r="AF27" s="32">
        <f>IF(OR(V27="",Seeds!$C$8=""),"",V27-Seeds!$C$8)</f>
        <v/>
      </c>
      <c r="AG27" s="32">
        <f>IF(OR(AF27="",Seeds!$C$10=""),"",IF(ABS(AF27)&gt;Seeds!$C$10,"Có","Không"))</f>
        <v/>
      </c>
    </row>
    <row r="28" ht="15" customHeight="1" s="20">
      <c r="A28" t="inlineStr">
        <is>
          <t>init-normal</t>
        </is>
      </c>
      <c r="B28" t="inlineStr">
        <is>
          <t>init</t>
        </is>
      </c>
      <c r="C28" t="inlineStr">
        <is>
          <t>Khởi tạo normal</t>
        </is>
      </c>
      <c r="D28" t="inlineStr">
        <is>
          <t>ce</t>
        </is>
      </c>
      <c r="E28" t="inlineStr">
        <is>
          <t>sgd_momentum</t>
        </is>
      </c>
      <c r="F28" t="n">
        <v>0.1</v>
      </c>
      <c r="G28" t="n">
        <v>0</v>
      </c>
      <c r="H28" t="n">
        <v>512</v>
      </c>
      <c r="I28" t="n">
        <v>20</v>
      </c>
      <c r="J28" t="inlineStr">
        <is>
          <t>256-128</t>
        </is>
      </c>
      <c r="K28" t="n">
        <v>0</v>
      </c>
      <c r="M28" t="inlineStr">
        <is>
          <t>fp32</t>
        </is>
      </c>
      <c r="N28" t="inlineStr">
        <is>
          <t>normal</t>
        </is>
      </c>
      <c r="O28" t="n">
        <v>1</v>
      </c>
      <c r="P28" t="n">
        <v>1.945995658844474</v>
      </c>
      <c r="Q28" t="n">
        <v>0.2399871340973832</v>
      </c>
      <c r="R28" t="n">
        <v>19</v>
      </c>
      <c r="S28" t="n">
        <v>0.2360676281738281</v>
      </c>
      <c r="T28" t="n">
        <v>0.2580431417457537</v>
      </c>
      <c r="U28" t="n">
        <v>0.9027559648028226</v>
      </c>
      <c r="V28" t="n">
        <v>0.8485232616401474</v>
      </c>
      <c r="W28" t="n">
        <v>1.313555768699996</v>
      </c>
      <c r="X28" t="n">
        <v>160.05859375</v>
      </c>
      <c r="Y28" t="b">
        <v>0</v>
      </c>
      <c r="AB28" t="inlineStr">
        <is>
          <t>figures/init-normal.png</t>
        </is>
      </c>
      <c r="AC28" t="inlineStr">
        <is>
          <t>grad_p95=0.8568</t>
        </is>
      </c>
      <c r="AD28" s="32">
        <f>IF(P28="","",P28-LN(7))</f>
        <v/>
      </c>
      <c r="AE28" s="32">
        <f>IF(OR(T28="",S28=""),"",T28-S28)</f>
        <v/>
      </c>
      <c r="AF28" s="32">
        <f>IF(OR(V28="",Seeds!$C$8=""),"",V28-Seeds!$C$8)</f>
        <v/>
      </c>
      <c r="AG28" s="32">
        <f>IF(OR(AF28="",Seeds!$C$10=""),"",IF(ABS(AF28)&gt;Seeds!$C$10,"Có","Không"))</f>
        <v/>
      </c>
    </row>
    <row r="29" ht="15" customHeight="1" s="20">
      <c r="A29" t="inlineStr">
        <is>
          <t>init-xavier</t>
        </is>
      </c>
      <c r="B29" t="inlineStr">
        <is>
          <t>init</t>
        </is>
      </c>
      <c r="C29" t="inlineStr">
        <is>
          <t>Khởi tạo xavier</t>
        </is>
      </c>
      <c r="D29" t="inlineStr">
        <is>
          <t>ce</t>
        </is>
      </c>
      <c r="E29" t="inlineStr">
        <is>
          <t>sgd_momentum</t>
        </is>
      </c>
      <c r="F29" t="n">
        <v>0.1</v>
      </c>
      <c r="G29" t="n">
        <v>0</v>
      </c>
      <c r="H29" t="n">
        <v>512</v>
      </c>
      <c r="I29" t="n">
        <v>20</v>
      </c>
      <c r="J29" t="inlineStr">
        <is>
          <t>256-128</t>
        </is>
      </c>
      <c r="K29" t="n">
        <v>0</v>
      </c>
      <c r="M29" t="inlineStr">
        <is>
          <t>fp32</t>
        </is>
      </c>
      <c r="N29" t="inlineStr">
        <is>
          <t>xavier</t>
        </is>
      </c>
      <c r="O29" t="n">
        <v>1</v>
      </c>
      <c r="P29" t="n">
        <v>2.022176189935135</v>
      </c>
      <c r="Q29" t="n">
        <v>0.2300258843373166</v>
      </c>
      <c r="R29" t="n">
        <v>18</v>
      </c>
      <c r="S29" t="n">
        <v>0.2085878326416016</v>
      </c>
      <c r="T29" t="n">
        <v>0.234490139662241</v>
      </c>
      <c r="U29" t="n">
        <v>0.9093823282631613</v>
      </c>
      <c r="V29" t="n">
        <v>0.8585318297146911</v>
      </c>
      <c r="W29" t="n">
        <v>1.324114177499939</v>
      </c>
      <c r="X29" t="n">
        <v>160.05859375</v>
      </c>
      <c r="Y29" t="b">
        <v>0</v>
      </c>
      <c r="AB29" t="inlineStr">
        <is>
          <t>figures/init-xavier.png</t>
        </is>
      </c>
      <c r="AC29" t="inlineStr">
        <is>
          <t>grad_p95=0.8187</t>
        </is>
      </c>
      <c r="AD29" s="32">
        <f>IF(P29="","",P29-LN(7))</f>
        <v/>
      </c>
      <c r="AE29" s="32">
        <f>IF(OR(T29="",S29=""),"",T29-S29)</f>
        <v/>
      </c>
      <c r="AF29" s="32">
        <f>IF(OR(V29="",Seeds!$C$8=""),"",V29-Seeds!$C$8)</f>
        <v/>
      </c>
      <c r="AG29" s="32">
        <f>IF(OR(AF29="",Seeds!$C$10=""),"",IF(ABS(AF29)&gt;Seeds!$C$10,"Có","Không"))</f>
        <v/>
      </c>
    </row>
    <row r="30" ht="15" customHeight="1" s="20">
      <c r="A30" t="inlineStr">
        <is>
          <t>init-zeros</t>
        </is>
      </c>
      <c r="B30" t="inlineStr">
        <is>
          <t>init</t>
        </is>
      </c>
      <c r="C30" t="inlineStr">
        <is>
          <t>Khởi tạo zeros</t>
        </is>
      </c>
      <c r="D30" t="inlineStr">
        <is>
          <t>ce</t>
        </is>
      </c>
      <c r="E30" t="inlineStr">
        <is>
          <t>sgd_momentum</t>
        </is>
      </c>
      <c r="F30" t="n">
        <v>0.1</v>
      </c>
      <c r="G30" t="n">
        <v>0</v>
      </c>
      <c r="H30" t="n">
        <v>512</v>
      </c>
      <c r="I30" t="n">
        <v>20</v>
      </c>
      <c r="J30" t="inlineStr">
        <is>
          <t>256-128</t>
        </is>
      </c>
      <c r="K30" t="n">
        <v>0</v>
      </c>
      <c r="M30" t="inlineStr">
        <is>
          <t>fp32</t>
        </is>
      </c>
      <c r="N30" t="inlineStr">
        <is>
          <t>zeros</t>
        </is>
      </c>
      <c r="O30" t="n">
        <v>1</v>
      </c>
      <c r="P30" t="n">
        <v>1.945909990859841</v>
      </c>
      <c r="Q30" t="n">
        <v>1.205199512489814</v>
      </c>
      <c r="R30" t="n">
        <v>14</v>
      </c>
      <c r="S30" t="n">
        <v>1.202230224609375</v>
      </c>
      <c r="T30" t="n">
        <v>1.205618765618781</v>
      </c>
      <c r="U30" t="n">
        <v>0.4875970826789441</v>
      </c>
      <c r="V30" t="n">
        <v>0.09364999018625454</v>
      </c>
      <c r="W30" t="n">
        <v>1.334761486200023</v>
      </c>
      <c r="X30" t="n">
        <v>160.05859375</v>
      </c>
      <c r="Y30" t="b">
        <v>0</v>
      </c>
      <c r="AB30" t="inlineStr">
        <is>
          <t>figures/init-zeros.png</t>
        </is>
      </c>
      <c r="AC30" t="inlineStr">
        <is>
          <t>grad_p95=0.06588</t>
        </is>
      </c>
      <c r="AD30" s="32">
        <f>IF(P30="","",P30-LN(7))</f>
        <v/>
      </c>
      <c r="AE30" s="32">
        <f>IF(OR(T30="",S30=""),"",T30-S30)</f>
        <v/>
      </c>
      <c r="AF30" s="32">
        <f>IF(OR(V30="",Seeds!$C$8=""),"",V30-Seeds!$C$8)</f>
        <v/>
      </c>
      <c r="AG30" s="32">
        <f>IF(OR(AF30="",Seeds!$C$10=""),"",IF(ABS(AF30)&gt;Seeds!$C$10,"Có","Không"))</f>
        <v/>
      </c>
    </row>
    <row r="31" ht="15" customHeight="1" s="20">
      <c r="A31" t="inlineStr">
        <is>
          <t>loss-ce-balanced</t>
        </is>
      </c>
      <c r="B31" t="inlineStr">
        <is>
          <t>loss</t>
        </is>
      </c>
      <c r="C31" t="inlineStr">
        <is>
          <t>CE trọng số nghịch đảo tần suất</t>
        </is>
      </c>
      <c r="D31" t="inlineStr">
        <is>
          <t>ce</t>
        </is>
      </c>
      <c r="E31" t="inlineStr">
        <is>
          <t>sgd_momentum</t>
        </is>
      </c>
      <c r="F31" t="n">
        <v>0.1</v>
      </c>
      <c r="G31" t="n">
        <v>0</v>
      </c>
      <c r="H31" t="n">
        <v>512</v>
      </c>
      <c r="I31" t="n">
        <v>20</v>
      </c>
      <c r="J31" t="inlineStr">
        <is>
          <t>256-128</t>
        </is>
      </c>
      <c r="K31" t="n">
        <v>0</v>
      </c>
      <c r="M31" t="inlineStr">
        <is>
          <t>fp32</t>
        </is>
      </c>
      <c r="N31" t="inlineStr">
        <is>
          <t>he</t>
        </is>
      </c>
      <c r="O31" t="n">
        <v>1</v>
      </c>
      <c r="P31" t="n">
        <v>2.177698369789484</v>
      </c>
      <c r="Q31" t="n">
        <v>0.2458023562773541</v>
      </c>
      <c r="R31" t="n">
        <v>19</v>
      </c>
      <c r="S31" t="n">
        <v>0.2595679500568067</v>
      </c>
      <c r="T31" t="n">
        <v>0.314867783403545</v>
      </c>
      <c r="U31" t="n">
        <v>0.8483573933435167</v>
      </c>
      <c r="V31" t="n">
        <v>0.7842495156015027</v>
      </c>
      <c r="W31" t="n">
        <v>1.354592344899999</v>
      </c>
      <c r="X31" t="n">
        <v>160.05908203125</v>
      </c>
      <c r="Y31" t="b">
        <v>0</v>
      </c>
      <c r="AB31" t="inlineStr">
        <is>
          <t>figures/loss-ce-balanced.png</t>
        </is>
      </c>
      <c r="AC31" t="inlineStr">
        <is>
          <t>class_weight=balanced; grad_p95=1.08</t>
        </is>
      </c>
      <c r="AD31" s="32">
        <f>IF(P31="","",P31-LN(7))</f>
        <v/>
      </c>
      <c r="AE31" s="32">
        <f>IF(OR(T31="",S31=""),"",T31-S31)</f>
        <v/>
      </c>
      <c r="AF31" s="32">
        <f>IF(OR(V31="",Seeds!$C$8=""),"",V31-Seeds!$C$8)</f>
        <v/>
      </c>
      <c r="AG31" s="32">
        <f>IF(OR(AF31="",Seeds!$C$10=""),"",IF(ABS(AF31)&gt;Seeds!$C$10,"Có","Không"))</f>
        <v/>
      </c>
    </row>
    <row r="32" ht="15" customHeight="1" s="20">
      <c r="A32" t="inlineStr">
        <is>
          <t>loss-ce-sqrt</t>
        </is>
      </c>
      <c r="B32" t="inlineStr">
        <is>
          <t>loss</t>
        </is>
      </c>
      <c r="C32" t="inlineStr">
        <is>
          <t>CE trọng số căn nghịch đảo tần suất</t>
        </is>
      </c>
      <c r="D32" t="inlineStr">
        <is>
          <t>ce</t>
        </is>
      </c>
      <c r="E32" t="inlineStr">
        <is>
          <t>sgd_momentum</t>
        </is>
      </c>
      <c r="F32" t="n">
        <v>0.1</v>
      </c>
      <c r="G32" t="n">
        <v>0</v>
      </c>
      <c r="H32" t="n">
        <v>512</v>
      </c>
      <c r="I32" t="n">
        <v>20</v>
      </c>
      <c r="J32" t="inlineStr">
        <is>
          <t>256-128</t>
        </is>
      </c>
      <c r="K32" t="n">
        <v>0</v>
      </c>
      <c r="M32" t="inlineStr">
        <is>
          <t>fp32</t>
        </is>
      </c>
      <c r="N32" t="inlineStr">
        <is>
          <t>he</t>
        </is>
      </c>
      <c r="O32" t="n">
        <v>1</v>
      </c>
      <c r="P32" t="n">
        <v>2.261064690322895</v>
      </c>
      <c r="Q32" t="n">
        <v>0.2492919964422829</v>
      </c>
      <c r="R32" t="n">
        <v>20</v>
      </c>
      <c r="S32" t="n">
        <v>0.2124835221452009</v>
      </c>
      <c r="T32" t="n">
        <v>0.2492919964422829</v>
      </c>
      <c r="U32" t="n">
        <v>0.9024009810460188</v>
      </c>
      <c r="V32" t="n">
        <v>0.8590071640653448</v>
      </c>
      <c r="W32" t="n">
        <v>1.336177451599991</v>
      </c>
      <c r="X32" t="n">
        <v>160.05908203125</v>
      </c>
      <c r="Y32" t="b">
        <v>0</v>
      </c>
      <c r="AB32" t="inlineStr">
        <is>
          <t>figures/loss-ce-sqrt.png</t>
        </is>
      </c>
      <c r="AC32" t="inlineStr">
        <is>
          <t>class_weight=sqrt_balanced; grad_p95=0.8282</t>
        </is>
      </c>
      <c r="AD32" s="32">
        <f>IF(P32="","",P32-LN(7))</f>
        <v/>
      </c>
      <c r="AE32" s="32">
        <f>IF(OR(T32="",S32=""),"",T32-S32)</f>
        <v/>
      </c>
      <c r="AF32" s="32">
        <f>IF(OR(V32="",Seeds!$C$8=""),"",V32-Seeds!$C$8)</f>
        <v/>
      </c>
      <c r="AG32" s="32">
        <f>IF(OR(AF32="",Seeds!$C$10=""),"",IF(ABS(AF32)&gt;Seeds!$C$10,"Có","Không"))</f>
        <v/>
      </c>
    </row>
    <row r="33" ht="15" customHeight="1" s="20">
      <c r="A33" t="inlineStr">
        <is>
          <t>loss-mse</t>
        </is>
      </c>
      <c r="B33" t="inlineStr">
        <is>
          <t>loss</t>
        </is>
      </c>
      <c r="C33" t="inlineStr">
        <is>
          <t>MSE với nhãn one-hot</t>
        </is>
      </c>
      <c r="D33" t="inlineStr">
        <is>
          <t>mse</t>
        </is>
      </c>
      <c r="E33" t="inlineStr">
        <is>
          <t>sgd_momentum</t>
        </is>
      </c>
      <c r="F33" t="n">
        <v>0.1</v>
      </c>
      <c r="G33" t="n">
        <v>0</v>
      </c>
      <c r="H33" t="n">
        <v>512</v>
      </c>
      <c r="I33" t="n">
        <v>20</v>
      </c>
      <c r="J33" t="inlineStr">
        <is>
          <t>256-128</t>
        </is>
      </c>
      <c r="K33" t="n">
        <v>0</v>
      </c>
      <c r="M33" t="inlineStr">
        <is>
          <t>fp32</t>
        </is>
      </c>
      <c r="N33" t="inlineStr">
        <is>
          <t>he</t>
        </is>
      </c>
      <c r="O33" t="n">
        <v>1</v>
      </c>
      <c r="P33" t="n">
        <v>0.6358503211013448</v>
      </c>
      <c r="Q33" t="n">
        <v>0.02938536638140306</v>
      </c>
      <c r="R33" t="n">
        <v>19</v>
      </c>
      <c r="S33" t="n">
        <v>0.0285929452078683</v>
      </c>
      <c r="T33" t="n">
        <v>0.02944104269269154</v>
      </c>
      <c r="U33" t="n">
        <v>0.8712592241991352</v>
      </c>
      <c r="V33" t="n">
        <v>0.7329457283393463</v>
      </c>
      <c r="W33" t="n">
        <v>1.42147842115001</v>
      </c>
      <c r="X33" t="n">
        <v>160.28076171875</v>
      </c>
      <c r="Y33" t="b">
        <v>0</v>
      </c>
      <c r="AB33" t="inlineStr">
        <is>
          <t>figures/loss-mse.png</t>
        </is>
      </c>
      <c r="AC33" t="inlineStr">
        <is>
          <t>grad_p95=0.1275</t>
        </is>
      </c>
      <c r="AD33" s="32">
        <f>IF(P33="","",P33-LN(7))</f>
        <v/>
      </c>
      <c r="AE33" s="32">
        <f>IF(OR(T33="",S33=""),"",T33-S33)</f>
        <v/>
      </c>
      <c r="AF33" s="32">
        <f>IF(OR(V33="",Seeds!$C$8=""),"",V33-Seeds!$C$8)</f>
        <v/>
      </c>
      <c r="AG33" s="32">
        <f>IF(OR(AF33="",Seeds!$C$10=""),"",IF(ABS(AF33)&gt;Seeds!$C$10,"Có","Không"))</f>
        <v/>
      </c>
    </row>
    <row r="34" ht="15" customHeight="1" s="20">
      <c r="A34" t="inlineStr">
        <is>
          <t>opt-adam-lr0p0003</t>
        </is>
      </c>
      <c r="B34" t="inlineStr">
        <is>
          <t>optimizer</t>
        </is>
      </c>
      <c r="C34" t="inlineStr">
        <is>
          <t>adam với lr=0.0003</t>
        </is>
      </c>
      <c r="D34" t="inlineStr">
        <is>
          <t>ce</t>
        </is>
      </c>
      <c r="E34" t="inlineStr">
        <is>
          <t>adam</t>
        </is>
      </c>
      <c r="F34" t="n">
        <v>0.0003</v>
      </c>
      <c r="G34" t="n">
        <v>0</v>
      </c>
      <c r="H34" t="n">
        <v>512</v>
      </c>
      <c r="I34" t="n">
        <v>20</v>
      </c>
      <c r="J34" t="inlineStr">
        <is>
          <t>256-128</t>
        </is>
      </c>
      <c r="K34" t="n">
        <v>0</v>
      </c>
      <c r="M34" t="inlineStr">
        <is>
          <t>fp32</t>
        </is>
      </c>
      <c r="N34" t="inlineStr">
        <is>
          <t>he</t>
        </is>
      </c>
      <c r="O34" t="n">
        <v>1</v>
      </c>
      <c r="P34" t="n">
        <v>2.269061788393712</v>
      </c>
      <c r="Q34" t="n">
        <v>0.3080369251704493</v>
      </c>
      <c r="R34" t="n">
        <v>20</v>
      </c>
      <c r="S34" t="n">
        <v>0.297858291015625</v>
      </c>
      <c r="T34" t="n">
        <v>0.3080369251704493</v>
      </c>
      <c r="U34" t="n">
        <v>0.876142940126073</v>
      </c>
      <c r="V34" t="n">
        <v>0.7954779337668624</v>
      </c>
      <c r="W34" t="n">
        <v>1.490683593299991</v>
      </c>
      <c r="X34" t="n">
        <v>160.24169921875</v>
      </c>
      <c r="Y34" t="b">
        <v>0</v>
      </c>
      <c r="AB34" t="inlineStr">
        <is>
          <t>figures/opt-adam-lr0p0003.png</t>
        </is>
      </c>
      <c r="AC34" t="inlineStr">
        <is>
          <t>grad_p95=1.289</t>
        </is>
      </c>
      <c r="AD34" s="32">
        <f>IF(P34="","",P34-LN(7))</f>
        <v/>
      </c>
      <c r="AE34" s="32">
        <f>IF(OR(T34="",S34=""),"",T34-S34)</f>
        <v/>
      </c>
      <c r="AF34" s="32">
        <f>IF(OR(V34="",Seeds!$C$8=""),"",V34-Seeds!$C$8)</f>
        <v/>
      </c>
      <c r="AG34" s="32">
        <f>IF(OR(AF34="",Seeds!$C$10=""),"",IF(ABS(AF34)&gt;Seeds!$C$10,"Có","Không"))</f>
        <v/>
      </c>
    </row>
    <row r="35" ht="15" customHeight="1" s="20">
      <c r="A35" t="inlineStr">
        <is>
          <t>opt-adam-lr0p001</t>
        </is>
      </c>
      <c r="B35" t="inlineStr">
        <is>
          <t>optimizer</t>
        </is>
      </c>
      <c r="C35" t="inlineStr">
        <is>
          <t>adam với lr=0.001</t>
        </is>
      </c>
      <c r="D35" t="inlineStr">
        <is>
          <t>ce</t>
        </is>
      </c>
      <c r="E35" t="inlineStr">
        <is>
          <t>adam</t>
        </is>
      </c>
      <c r="F35" t="n">
        <v>0.001</v>
      </c>
      <c r="G35" t="n">
        <v>0</v>
      </c>
      <c r="H35" t="n">
        <v>512</v>
      </c>
      <c r="I35" t="n">
        <v>20</v>
      </c>
      <c r="J35" t="inlineStr">
        <is>
          <t>256-128</t>
        </is>
      </c>
      <c r="K35" t="n">
        <v>0</v>
      </c>
      <c r="M35" t="inlineStr">
        <is>
          <t>fp32</t>
        </is>
      </c>
      <c r="N35" t="inlineStr">
        <is>
          <t>he</t>
        </is>
      </c>
      <c r="O35" t="n">
        <v>1</v>
      </c>
      <c r="P35" t="n">
        <v>2.269061788393712</v>
      </c>
      <c r="Q35" t="n">
        <v>0.2420123789607498</v>
      </c>
      <c r="R35" t="n">
        <v>18</v>
      </c>
      <c r="S35" t="n">
        <v>0.2276411444091797</v>
      </c>
      <c r="T35" t="n">
        <v>0.2490901545288666</v>
      </c>
      <c r="U35" t="n">
        <v>0.9032615477291797</v>
      </c>
      <c r="V35" t="n">
        <v>0.8436950082034838</v>
      </c>
      <c r="W35" t="n">
        <v>1.490218207599992</v>
      </c>
      <c r="X35" t="n">
        <v>160.24169921875</v>
      </c>
      <c r="Y35" t="b">
        <v>0</v>
      </c>
      <c r="AB35" t="inlineStr">
        <is>
          <t>figures/opt-adam-lr0p001.png</t>
        </is>
      </c>
      <c r="AC35" t="inlineStr">
        <is>
          <t>grad_p95=1.43</t>
        </is>
      </c>
      <c r="AD35" s="32">
        <f>IF(P35="","",P35-LN(7))</f>
        <v/>
      </c>
      <c r="AE35" s="32">
        <f>IF(OR(T35="",S35=""),"",T35-S35)</f>
        <v/>
      </c>
      <c r="AF35" s="32">
        <f>IF(OR(V35="",Seeds!$C$8=""),"",V35-Seeds!$C$8)</f>
        <v/>
      </c>
      <c r="AG35" s="32">
        <f>IF(OR(AF35="",Seeds!$C$10=""),"",IF(ABS(AF35)&gt;Seeds!$C$10,"Có","Không"))</f>
        <v/>
      </c>
    </row>
    <row r="36" ht="15" customHeight="1" s="20">
      <c r="A36" t="inlineStr">
        <is>
          <t>opt-adam-lr0p003</t>
        </is>
      </c>
      <c r="B36" t="inlineStr">
        <is>
          <t>optimizer</t>
        </is>
      </c>
      <c r="C36" t="inlineStr">
        <is>
          <t>adam với lr=0.003</t>
        </is>
      </c>
      <c r="D36" t="inlineStr">
        <is>
          <t>ce</t>
        </is>
      </c>
      <c r="E36" t="inlineStr">
        <is>
          <t>adam</t>
        </is>
      </c>
      <c r="F36" t="n">
        <v>0.003</v>
      </c>
      <c r="G36" t="n">
        <v>0</v>
      </c>
      <c r="H36" t="n">
        <v>512</v>
      </c>
      <c r="I36" t="n">
        <v>20</v>
      </c>
      <c r="J36" t="inlineStr">
        <is>
          <t>256-128</t>
        </is>
      </c>
      <c r="K36" t="n">
        <v>0</v>
      </c>
      <c r="M36" t="inlineStr">
        <is>
          <t>fp32</t>
        </is>
      </c>
      <c r="N36" t="inlineStr">
        <is>
          <t>he</t>
        </is>
      </c>
      <c r="O36" t="n">
        <v>1</v>
      </c>
      <c r="P36" t="n">
        <v>2.269061788393712</v>
      </c>
      <c r="Q36" t="n">
        <v>0.210076995033505</v>
      </c>
      <c r="R36" t="n">
        <v>18</v>
      </c>
      <c r="S36" t="n">
        <v>0.1800962423706055</v>
      </c>
      <c r="T36" t="n">
        <v>0.2109567175192384</v>
      </c>
      <c r="U36" t="n">
        <v>0.9177620963404401</v>
      </c>
      <c r="V36" t="n">
        <v>0.8682968103006484</v>
      </c>
      <c r="W36" t="n">
        <v>1.506818583800003</v>
      </c>
      <c r="X36" t="n">
        <v>160.24169921875</v>
      </c>
      <c r="Y36" t="b">
        <v>0</v>
      </c>
      <c r="AB36" t="inlineStr">
        <is>
          <t>figures/opt-adam-lr0p003.png</t>
        </is>
      </c>
      <c r="AC36" t="inlineStr">
        <is>
          <t>grad_p95=1.029</t>
        </is>
      </c>
      <c r="AD36" s="32">
        <f>IF(P36="","",P36-LN(7))</f>
        <v/>
      </c>
      <c r="AE36" s="32">
        <f>IF(OR(T36="",S36=""),"",T36-S36)</f>
        <v/>
      </c>
      <c r="AF36" s="32">
        <f>IF(OR(V36="",Seeds!$C$8=""),"",V36-Seeds!$C$8)</f>
        <v/>
      </c>
      <c r="AG36" s="32">
        <f>IF(OR(AF36="",Seeds!$C$10=""),"",IF(ABS(AF36)&gt;Seeds!$C$10,"Có","Không"))</f>
        <v/>
      </c>
    </row>
    <row r="37" ht="15" customHeight="1" s="20">
      <c r="A37" t="inlineStr">
        <is>
          <t>opt-adamw-lr0p0003</t>
        </is>
      </c>
      <c r="B37" t="inlineStr">
        <is>
          <t>optimizer</t>
        </is>
      </c>
      <c r="C37" t="inlineStr">
        <is>
          <t>adamw với lr=0.0003</t>
        </is>
      </c>
      <c r="D37" t="inlineStr">
        <is>
          <t>ce</t>
        </is>
      </c>
      <c r="E37" t="inlineStr">
        <is>
          <t>adamw</t>
        </is>
      </c>
      <c r="F37" t="n">
        <v>0.0003</v>
      </c>
      <c r="G37" t="n">
        <v>0.01</v>
      </c>
      <c r="H37" t="n">
        <v>512</v>
      </c>
      <c r="I37" t="n">
        <v>20</v>
      </c>
      <c r="J37" t="inlineStr">
        <is>
          <t>256-128</t>
        </is>
      </c>
      <c r="K37" t="n">
        <v>0</v>
      </c>
      <c r="M37" t="inlineStr">
        <is>
          <t>fp32</t>
        </is>
      </c>
      <c r="N37" t="inlineStr">
        <is>
          <t>he</t>
        </is>
      </c>
      <c r="O37" t="n">
        <v>1</v>
      </c>
      <c r="P37" t="n">
        <v>2.269061788393712</v>
      </c>
      <c r="Q37" t="n">
        <v>0.3100305343335432</v>
      </c>
      <c r="R37" t="n">
        <v>20</v>
      </c>
      <c r="S37" t="n">
        <v>0.3002097399902344</v>
      </c>
      <c r="T37" t="n">
        <v>0.3100305343335432</v>
      </c>
      <c r="U37" t="n">
        <v>0.8750564746885824</v>
      </c>
      <c r="V37" t="n">
        <v>0.7936455075521185</v>
      </c>
      <c r="W37" t="n">
        <v>1.523352941150012</v>
      </c>
      <c r="X37" t="n">
        <v>160.24169921875</v>
      </c>
      <c r="Y37" t="b">
        <v>0</v>
      </c>
      <c r="AB37" t="inlineStr">
        <is>
          <t>figures/opt-adamw-lr0p0003.png</t>
        </is>
      </c>
      <c r="AC37" t="inlineStr">
        <is>
          <t>grad_p95=1.267</t>
        </is>
      </c>
      <c r="AD37" s="32">
        <f>IF(P37="","",P37-LN(7))</f>
        <v/>
      </c>
      <c r="AE37" s="32">
        <f>IF(OR(T37="",S37=""),"",T37-S37)</f>
        <v/>
      </c>
      <c r="AF37" s="32">
        <f>IF(OR(V37="",Seeds!$C$8=""),"",V37-Seeds!$C$8)</f>
        <v/>
      </c>
      <c r="AG37" s="32">
        <f>IF(OR(AF37="",Seeds!$C$10=""),"",IF(ABS(AF37)&gt;Seeds!$C$10,"Có","Không"))</f>
        <v/>
      </c>
    </row>
    <row r="38" ht="15" customHeight="1" s="20">
      <c r="A38" t="inlineStr">
        <is>
          <t>opt-adamw-lr0p001</t>
        </is>
      </c>
      <c r="B38" t="inlineStr">
        <is>
          <t>optimizer</t>
        </is>
      </c>
      <c r="C38" t="inlineStr">
        <is>
          <t>adamw với lr=0.001</t>
        </is>
      </c>
      <c r="D38" t="inlineStr">
        <is>
          <t>ce</t>
        </is>
      </c>
      <c r="E38" t="inlineStr">
        <is>
          <t>adamw</t>
        </is>
      </c>
      <c r="F38" t="n">
        <v>0.001</v>
      </c>
      <c r="G38" t="n">
        <v>0.01</v>
      </c>
      <c r="H38" t="n">
        <v>512</v>
      </c>
      <c r="I38" t="n">
        <v>20</v>
      </c>
      <c r="J38" t="inlineStr">
        <is>
          <t>256-128</t>
        </is>
      </c>
      <c r="K38" t="n">
        <v>0</v>
      </c>
      <c r="M38" t="inlineStr">
        <is>
          <t>fp32</t>
        </is>
      </c>
      <c r="N38" t="inlineStr">
        <is>
          <t>he</t>
        </is>
      </c>
      <c r="O38" t="n">
        <v>1</v>
      </c>
      <c r="P38" t="n">
        <v>2.269061788393712</v>
      </c>
      <c r="Q38" t="n">
        <v>0.2491275955350876</v>
      </c>
      <c r="R38" t="n">
        <v>18</v>
      </c>
      <c r="S38" t="n">
        <v>0.2318157147216797</v>
      </c>
      <c r="T38" t="n">
        <v>0.2513863605044517</v>
      </c>
      <c r="U38" t="n">
        <v>0.8996794389105226</v>
      </c>
      <c r="V38" t="n">
        <v>0.8398323634047135</v>
      </c>
      <c r="W38" t="n">
        <v>1.492102549600008</v>
      </c>
      <c r="X38" t="n">
        <v>160.24169921875</v>
      </c>
      <c r="Y38" t="b">
        <v>0</v>
      </c>
      <c r="AB38" t="inlineStr">
        <is>
          <t>figures/opt-adamw-lr0p001.png</t>
        </is>
      </c>
      <c r="AC38" t="inlineStr">
        <is>
          <t>grad_p95=1.389</t>
        </is>
      </c>
      <c r="AD38" s="32">
        <f>IF(P38="","",P38-LN(7))</f>
        <v/>
      </c>
      <c r="AE38" s="32">
        <f>IF(OR(T38="",S38=""),"",T38-S38)</f>
        <v/>
      </c>
      <c r="AF38" s="32">
        <f>IF(OR(V38="",Seeds!$C$8=""),"",V38-Seeds!$C$8)</f>
        <v/>
      </c>
      <c r="AG38" s="32">
        <f>IF(OR(AF38="",Seeds!$C$10=""),"",IF(ABS(AF38)&gt;Seeds!$C$10,"Có","Không"))</f>
        <v/>
      </c>
    </row>
    <row r="39" ht="15" customHeight="1" s="20">
      <c r="A39" t="inlineStr">
        <is>
          <t>opt-adamw-lr0p003</t>
        </is>
      </c>
      <c r="B39" t="inlineStr">
        <is>
          <t>optimizer</t>
        </is>
      </c>
      <c r="C39" t="inlineStr">
        <is>
          <t>adamw với lr=0.003</t>
        </is>
      </c>
      <c r="D39" t="inlineStr">
        <is>
          <t>ce</t>
        </is>
      </c>
      <c r="E39" t="inlineStr">
        <is>
          <t>adamw</t>
        </is>
      </c>
      <c r="F39" t="n">
        <v>0.003</v>
      </c>
      <c r="G39" t="n">
        <v>0.01</v>
      </c>
      <c r="H39" t="n">
        <v>512</v>
      </c>
      <c r="I39" t="n">
        <v>20</v>
      </c>
      <c r="J39" t="inlineStr">
        <is>
          <t>256-128</t>
        </is>
      </c>
      <c r="K39" t="n">
        <v>0</v>
      </c>
      <c r="M39" t="inlineStr">
        <is>
          <t>fp32</t>
        </is>
      </c>
      <c r="N39" t="inlineStr">
        <is>
          <t>he</t>
        </is>
      </c>
      <c r="O39" t="n">
        <v>1</v>
      </c>
      <c r="P39" t="n">
        <v>2.269061788393712</v>
      </c>
      <c r="Q39" t="n">
        <v>0.2131461969959416</v>
      </c>
      <c r="R39" t="n">
        <v>20</v>
      </c>
      <c r="S39" t="n">
        <v>0.1893568292236328</v>
      </c>
      <c r="T39" t="n">
        <v>0.2131461969959416</v>
      </c>
      <c r="U39" t="n">
        <v>0.9136851616789656</v>
      </c>
      <c r="V39" t="n">
        <v>0.8757280429905576</v>
      </c>
      <c r="W39" t="n">
        <v>1.501154402400016</v>
      </c>
      <c r="X39" t="n">
        <v>160.24169921875</v>
      </c>
      <c r="Y39" t="b">
        <v>0</v>
      </c>
      <c r="AB39" t="inlineStr">
        <is>
          <t>figures/opt-adamw-lr0p003.png</t>
        </is>
      </c>
      <c r="AC39" t="inlineStr">
        <is>
          <t>grad_p95=0.9464</t>
        </is>
      </c>
      <c r="AD39" s="32">
        <f>IF(P39="","",P39-LN(7))</f>
        <v/>
      </c>
      <c r="AE39" s="32">
        <f>IF(OR(T39="",S39=""),"",T39-S39)</f>
        <v/>
      </c>
      <c r="AF39" s="32">
        <f>IF(OR(V39="",Seeds!$C$8=""),"",V39-Seeds!$C$8)</f>
        <v/>
      </c>
      <c r="AG39" s="32">
        <f>IF(OR(AF39="",Seeds!$C$10=""),"",IF(ABS(AF39)&gt;Seeds!$C$10,"Có","Không"))</f>
        <v/>
      </c>
    </row>
    <row r="40" ht="15" customHeight="1" s="20">
      <c r="A40" t="inlineStr">
        <is>
          <t>opt-sgd-lr0p01</t>
        </is>
      </c>
      <c r="B40" t="inlineStr">
        <is>
          <t>optimizer</t>
        </is>
      </c>
      <c r="C40" t="inlineStr">
        <is>
          <t>sgd với lr=0.01</t>
        </is>
      </c>
      <c r="D40" t="inlineStr">
        <is>
          <t>ce</t>
        </is>
      </c>
      <c r="E40" t="inlineStr">
        <is>
          <t>sgd</t>
        </is>
      </c>
      <c r="F40" t="n">
        <v>0.01</v>
      </c>
      <c r="G40" t="n">
        <v>0</v>
      </c>
      <c r="H40" t="n">
        <v>512</v>
      </c>
      <c r="I40" t="n">
        <v>20</v>
      </c>
      <c r="J40" t="inlineStr">
        <is>
          <t>256-128</t>
        </is>
      </c>
      <c r="K40" t="n">
        <v>0</v>
      </c>
      <c r="M40" t="inlineStr">
        <is>
          <t>fp32</t>
        </is>
      </c>
      <c r="N40" t="inlineStr">
        <is>
          <t>he</t>
        </is>
      </c>
      <c r="O40" t="n">
        <v>1</v>
      </c>
      <c r="P40" t="n">
        <v>2.269061788393712</v>
      </c>
      <c r="Q40" t="n">
        <v>0.5203376530867451</v>
      </c>
      <c r="R40" t="n">
        <v>20</v>
      </c>
      <c r="S40" t="n">
        <v>0.5163253900146484</v>
      </c>
      <c r="T40" t="n">
        <v>0.5203376530867451</v>
      </c>
      <c r="U40" t="n">
        <v>0.7804586820421248</v>
      </c>
      <c r="V40" t="n">
        <v>0.5907679628023078</v>
      </c>
      <c r="W40" t="n">
        <v>1.30370764905</v>
      </c>
      <c r="X40" t="n">
        <v>159.87548828125</v>
      </c>
      <c r="Y40" t="b">
        <v>0</v>
      </c>
      <c r="AB40" t="inlineStr">
        <is>
          <t>figures/opt-sgd-lr0p01.png</t>
        </is>
      </c>
      <c r="AC40" t="inlineStr">
        <is>
          <t>grad_p95=0.6475</t>
        </is>
      </c>
      <c r="AD40" s="32">
        <f>IF(P40="","",P40-LN(7))</f>
        <v/>
      </c>
      <c r="AE40" s="32">
        <f>IF(OR(T40="",S40=""),"",T40-S40)</f>
        <v/>
      </c>
      <c r="AF40" s="32">
        <f>IF(OR(V40="",Seeds!$C$8=""),"",V40-Seeds!$C$8)</f>
        <v/>
      </c>
      <c r="AG40" s="32">
        <f>IF(OR(AF40="",Seeds!$C$10=""),"",IF(ABS(AF40)&gt;Seeds!$C$10,"Có","Không"))</f>
        <v/>
      </c>
    </row>
    <row r="41" ht="15" customHeight="1" s="20">
      <c r="A41" t="inlineStr">
        <is>
          <t>opt-sgd-lr0p03</t>
        </is>
      </c>
      <c r="B41" t="inlineStr">
        <is>
          <t>optimizer</t>
        </is>
      </c>
      <c r="C41" t="inlineStr">
        <is>
          <t>sgd với lr=0.03</t>
        </is>
      </c>
      <c r="D41" t="inlineStr">
        <is>
          <t>ce</t>
        </is>
      </c>
      <c r="E41" t="inlineStr">
        <is>
          <t>sgd</t>
        </is>
      </c>
      <c r="F41" t="n">
        <v>0.03</v>
      </c>
      <c r="G41" t="n">
        <v>0</v>
      </c>
      <c r="H41" t="n">
        <v>512</v>
      </c>
      <c r="I41" t="n">
        <v>20</v>
      </c>
      <c r="J41" t="inlineStr">
        <is>
          <t>256-128</t>
        </is>
      </c>
      <c r="K41" t="n">
        <v>0</v>
      </c>
      <c r="M41" t="inlineStr">
        <is>
          <t>fp32</t>
        </is>
      </c>
      <c r="N41" t="inlineStr">
        <is>
          <t>he</t>
        </is>
      </c>
      <c r="O41" t="n">
        <v>1</v>
      </c>
      <c r="P41" t="n">
        <v>2.269061788393712</v>
      </c>
      <c r="Q41" t="n">
        <v>0.4307013958303359</v>
      </c>
      <c r="R41" t="n">
        <v>18</v>
      </c>
      <c r="S41" t="n">
        <v>0.4289120989990234</v>
      </c>
      <c r="T41" t="n">
        <v>0.4336702432113558</v>
      </c>
      <c r="U41" t="n">
        <v>0.8203029194724726</v>
      </c>
      <c r="V41" t="n">
        <v>0.6642209828450987</v>
      </c>
      <c r="W41" t="n">
        <v>1.288650065500002</v>
      </c>
      <c r="X41" t="n">
        <v>159.87548828125</v>
      </c>
      <c r="Y41" t="b">
        <v>0</v>
      </c>
      <c r="AB41" t="inlineStr">
        <is>
          <t>figures/opt-sgd-lr0p03.png</t>
        </is>
      </c>
      <c r="AC41" t="inlineStr">
        <is>
          <t>grad_p95=1.621</t>
        </is>
      </c>
      <c r="AD41" s="32">
        <f>IF(P41="","",P41-LN(7))</f>
        <v/>
      </c>
      <c r="AE41" s="32">
        <f>IF(OR(T41="",S41=""),"",T41-S41)</f>
        <v/>
      </c>
      <c r="AF41" s="32">
        <f>IF(OR(V41="",Seeds!$C$8=""),"",V41-Seeds!$C$8)</f>
        <v/>
      </c>
      <c r="AG41" s="32">
        <f>IF(OR(AF41="",Seeds!$C$10=""),"",IF(ABS(AF41)&gt;Seeds!$C$10,"Có","Không"))</f>
        <v/>
      </c>
    </row>
    <row r="42" ht="15" customHeight="1" s="20">
      <c r="A42" t="inlineStr">
        <is>
          <t>opt-sgd-lr0p1</t>
        </is>
      </c>
      <c r="B42" t="inlineStr">
        <is>
          <t>optimizer</t>
        </is>
      </c>
      <c r="C42" t="inlineStr">
        <is>
          <t>sgd với lr=0.1</t>
        </is>
      </c>
      <c r="D42" t="inlineStr">
        <is>
          <t>ce</t>
        </is>
      </c>
      <c r="E42" t="inlineStr">
        <is>
          <t>sgd</t>
        </is>
      </c>
      <c r="F42" t="n">
        <v>0.1</v>
      </c>
      <c r="G42" t="n">
        <v>0</v>
      </c>
      <c r="H42" t="n">
        <v>512</v>
      </c>
      <c r="I42" t="n">
        <v>20</v>
      </c>
      <c r="J42" t="inlineStr">
        <is>
          <t>256-128</t>
        </is>
      </c>
      <c r="K42" t="n">
        <v>0</v>
      </c>
      <c r="M42" t="inlineStr">
        <is>
          <t>fp32</t>
        </is>
      </c>
      <c r="N42" t="inlineStr">
        <is>
          <t>he</t>
        </is>
      </c>
      <c r="O42" t="n">
        <v>1</v>
      </c>
      <c r="P42" t="n">
        <v>2.269061788393712</v>
      </c>
      <c r="Q42" t="n">
        <v>0.3428688869196049</v>
      </c>
      <c r="R42" t="n">
        <v>18</v>
      </c>
      <c r="S42" t="n">
        <v>0.4044543725585937</v>
      </c>
      <c r="T42" t="n">
        <v>0.4147266947575017</v>
      </c>
      <c r="U42" t="n">
        <v>0.8580280114455369</v>
      </c>
      <c r="V42" t="n">
        <v>0.7396894743644629</v>
      </c>
      <c r="W42" t="n">
        <v>1.286578782199996</v>
      </c>
      <c r="X42" t="n">
        <v>159.87548828125</v>
      </c>
      <c r="Y42" t="b">
        <v>0</v>
      </c>
      <c r="AB42" t="inlineStr">
        <is>
          <t>figures/opt-sgd-lr0p1.png</t>
        </is>
      </c>
      <c r="AC42" t="inlineStr">
        <is>
          <t>grad_p95=1.723</t>
        </is>
      </c>
      <c r="AD42" s="32">
        <f>IF(P42="","",P42-LN(7))</f>
        <v/>
      </c>
      <c r="AE42" s="32">
        <f>IF(OR(T42="",S42=""),"",T42-S42)</f>
        <v/>
      </c>
      <c r="AF42" s="32">
        <f>IF(OR(V42="",Seeds!$C$8=""),"",V42-Seeds!$C$8)</f>
        <v/>
      </c>
      <c r="AG42" s="32">
        <f>IF(OR(AF42="",Seeds!$C$10=""),"",IF(ABS(AF42)&gt;Seeds!$C$10,"Có","Không"))</f>
        <v/>
      </c>
    </row>
    <row r="43" ht="15" customHeight="1" s="20"/>
    <row r="44" ht="15" customHeight="1" s="20"/>
    <row r="45" ht="15" customHeight="1" s="20"/>
    <row r="46" ht="15" customHeight="1" s="20"/>
    <row r="47" ht="15" customHeight="1" s="20"/>
    <row r="48" ht="15" customHeight="1" s="20"/>
    <row r="49" ht="15" customHeight="1" s="20"/>
    <row r="50" ht="15" customHeight="1" s="20"/>
    <row r="51" ht="15" customHeight="1" s="20"/>
    <row r="52" ht="15" customHeight="1" s="20"/>
    <row r="53" ht="15" customHeight="1" s="20"/>
    <row r="54" ht="15" customHeight="1" s="20"/>
    <row r="55" ht="15" customHeight="1" s="20"/>
    <row r="56" ht="15" customHeight="1" s="20"/>
    <row r="57" ht="15" customHeight="1" s="20"/>
    <row r="58" ht="15" customHeight="1" s="20"/>
    <row r="59" ht="15" customHeight="1" s="20"/>
    <row r="60" ht="15" customHeight="1" s="20"/>
    <row r="61" ht="15" customHeight="1" s="20"/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  <c r="F1" t="inlineStr">
        <is>
          <t>final candidate exp_id (không tính vào σ baseline)</t>
        </is>
      </c>
    </row>
    <row r="2" ht="15" customHeight="1" s="20">
      <c r="A2" s="33" t="inlineStr">
        <is>
          <t>base-s1</t>
        </is>
      </c>
      <c r="B2" s="32">
        <f>IF($A2="","",IFERROR(IF(INDEX(Experiments!$U$2:$U$61,MATCH($A2,Experiments!$A$2:$A$61,0))="","",INDEX(Experiments!$U$2:$U$61,MATCH($A2,Experiments!$A$2:$A$61,0))),""))</f>
        <v/>
      </c>
      <c r="C2" s="32">
        <f>IF($A2="","",IFERROR(IF(INDEX(Experiments!$V$2:$V$61,MATCH($A2,Experiments!$A$2:$A$61,0))="","",INDEX(Experiments!$V$2:$V$61,MATCH($A2,Experiments!$A$2:$A$61,0))),""))</f>
        <v/>
      </c>
      <c r="D2" s="32">
        <f>IF($A2="","",IFERROR(IF(INDEX(Experiments!$Q$2:$Q$61,MATCH($A2,Experiments!$A$2:$A$61,0))="","",INDEX(Experiments!$Q$2:$Q$61,MATCH($A2,Experiments!$A$2:$A$61,0))),""))</f>
        <v/>
      </c>
      <c r="F2" t="inlineStr">
        <is>
          <t>candidate-b-s1</t>
        </is>
      </c>
    </row>
    <row r="3" ht="15" customHeight="1" s="20">
      <c r="A3" s="33" t="inlineStr">
        <is>
          <t>base-s2</t>
        </is>
      </c>
      <c r="B3" s="32">
        <f>IF($A3="","",IFERROR(IF(INDEX(Experiments!$U$2:$U$61,MATCH($A3,Experiments!$A$2:$A$61,0))="","",INDEX(Experiments!$U$2:$U$61,MATCH($A3,Experiments!$A$2:$A$61,0))),""))</f>
        <v/>
      </c>
      <c r="C3" s="32">
        <f>IF($A3="","",IFERROR(IF(INDEX(Experiments!$V$2:$V$61,MATCH($A3,Experiments!$A$2:$A$61,0))="","",INDEX(Experiments!$V$2:$V$61,MATCH($A3,Experiments!$A$2:$A$61,0))),""))</f>
        <v/>
      </c>
      <c r="D3" s="32">
        <f>IF($A3="","",IFERROR(IF(INDEX(Experiments!$Q$2:$Q$61,MATCH($A3,Experiments!$A$2:$A$61,0))="","",INDEX(Experiments!$Q$2:$Q$61,MATCH($A3,Experiments!$A$2:$A$61,0))),""))</f>
        <v/>
      </c>
      <c r="F3" t="inlineStr">
        <is>
          <t>candidate-b-s2</t>
        </is>
      </c>
    </row>
    <row r="4" ht="15" customHeight="1" s="20">
      <c r="A4" s="33" t="inlineStr">
        <is>
          <t>base-s3</t>
        </is>
      </c>
      <c r="B4" s="32">
        <f>IF($A4="","",IFERROR(IF(INDEX(Experiments!$U$2:$U$61,MATCH($A4,Experiments!$A$2:$A$61,0))="","",INDEX(Experiments!$U$2:$U$61,MATCH($A4,Experiments!$A$2:$A$61,0))),""))</f>
        <v/>
      </c>
      <c r="C4" s="32">
        <f>IF($A4="","",IFERROR(IF(INDEX(Experiments!$V$2:$V$61,MATCH($A4,Experiments!$A$2:$A$61,0))="","",INDEX(Experiments!$V$2:$V$61,MATCH($A4,Experiments!$A$2:$A$61,0))),""))</f>
        <v/>
      </c>
      <c r="D4" s="32">
        <f>IF($A4="","",IFERROR(IF(INDEX(Experiments!$Q$2:$Q$61,MATCH($A4,Experiments!$A$2:$A$61,0))="","",INDEX(Experiments!$Q$2:$Q$61,MATCH($A4,Experiments!$A$2:$A$61,0))),""))</f>
        <v/>
      </c>
      <c r="F4" t="inlineStr">
        <is>
          <t>candidate-b-s3</t>
        </is>
      </c>
    </row>
    <row r="5" ht="15" customHeight="1" s="20">
      <c r="A5" s="34" t="n"/>
      <c r="B5" s="32">
        <f>IF($A5="","",IFERROR(IF(INDEX(Experiments!$U$2:$U$61,MATCH($A5,Experiments!$A$2:$A$61,0))="","",INDEX(Experiments!$U$2:$U$61,MATCH($A5,Experiments!$A$2:$A$61,0))),""))</f>
        <v/>
      </c>
      <c r="C5" s="32">
        <f>IF($A5="","",IFERROR(IF(INDEX(Experiments!$V$2:$V$61,MATCH($A5,Experiments!$A$2:$A$61,0))="","",INDEX(Experiments!$V$2:$V$61,MATCH($A5,Experiments!$A$2:$A$61,0))),""))</f>
        <v/>
      </c>
      <c r="D5" s="32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4" t="n"/>
      <c r="B6" s="32">
        <f>IF($A6="","",IFERROR(IF(INDEX(Experiments!$U$2:$U$61,MATCH($A6,Experiments!$A$2:$A$61,0))="","",INDEX(Experiments!$U$2:$U$61,MATCH($A6,Experiments!$A$2:$A$61,0))),""))</f>
        <v/>
      </c>
      <c r="C6" s="32">
        <f>IF($A6="","",IFERROR(IF(INDEX(Experiments!$V$2:$V$61,MATCH($A6,Experiments!$A$2:$A$61,0))="","",INDEX(Experiments!$V$2:$V$61,MATCH($A6,Experiments!$A$2:$A$61,0))),""))</f>
        <v/>
      </c>
      <c r="D6" s="32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5" t="inlineStr">
        <is>
          <t>mean</t>
        </is>
      </c>
      <c r="B8" s="32">
        <f>IF(COUNT(B2:B6)=0,"",AVERAGE(B2:B6))</f>
        <v/>
      </c>
      <c r="C8" s="32">
        <f>IF(COUNT(C2:C6)=0,"",AVERAGE(C2:C6))</f>
        <v/>
      </c>
      <c r="D8" s="32">
        <f>IF(COUNT(D2:D6)=0,"",AVERAGE(D2:D6))</f>
        <v/>
      </c>
    </row>
    <row r="9" ht="15" customHeight="1" s="20">
      <c r="A9" s="35" t="inlineStr">
        <is>
          <t>std (mẫu)</t>
        </is>
      </c>
      <c r="B9" s="32">
        <f>IF(COUNT(B2:B6)&lt;2,"",STDEV(B2:B6))</f>
        <v/>
      </c>
      <c r="C9" s="32">
        <f>IF(COUNT(C2:C6)&lt;2,"",STDEV(C2:C6))</f>
        <v/>
      </c>
      <c r="D9" s="32">
        <f>IF(COUNT(D2:D6)&lt;2,"",STDEV(D2:D6))</f>
        <v/>
      </c>
    </row>
    <row r="10" ht="15" customHeight="1" s="20">
      <c r="A10" s="35" t="inlineStr">
        <is>
          <t>2σ (ngưỡng nhiễu)</t>
        </is>
      </c>
      <c r="B10" s="32">
        <f>IF(B9="","",2*B9)</f>
        <v/>
      </c>
      <c r="C10" s="32">
        <f>IF(C9="","",2*C9)</f>
        <v/>
      </c>
      <c r="D10" s="32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6">
        <f>COUNTIF(Experiments!$B$2:$B$61,A2)</f>
        <v/>
      </c>
      <c r="C2" s="36">
        <f>COUNTIFS(Experiments!$B$2:$B$61,A2,Experiments!$V$2:$V$61,"&lt;&gt;")</f>
        <v/>
      </c>
      <c r="D2" s="32">
        <f>IF(C2=0,"",_xlfn.MAXIFS(Experiments!$V$2:$V$61,Experiments!$B$2:$B$61,A2))</f>
        <v/>
      </c>
      <c r="E2" s="32">
        <f>IF(C2=0,"",_xlfn.MINIFS(Experiments!$V$2:$V$61,Experiments!$B$2:$B$61,A2))</f>
        <v/>
      </c>
      <c r="F2" s="32">
        <f>IF(C2=0,"",_xlfn.MAXIFS(Experiments!$U$2:$U$61,Experiments!$B$2:$B$61,A2))</f>
        <v/>
      </c>
      <c r="G2" s="36" t="inlineStr">
        <is>
          <t>—</t>
        </is>
      </c>
      <c r="H2" s="37" t="inlineStr">
        <is>
          <t>Tốt nhất: base-lr0p1-s1 với val macro-F1=0.8584. Ngưỡng nhiễu baseline 2σ=0.0037.</t>
        </is>
      </c>
    </row>
    <row r="3" ht="15" customHeight="1" s="20">
      <c r="A3" s="31" t="inlineStr">
        <is>
          <t>loss</t>
        </is>
      </c>
      <c r="B3" s="36">
        <f>COUNTIF(Experiments!$B$2:$B$61,A3)</f>
        <v/>
      </c>
      <c r="C3" s="36">
        <f>COUNTIFS(Experiments!$B$2:$B$61,A3,Experiments!$V$2:$V$61,"&lt;&gt;")</f>
        <v/>
      </c>
      <c r="D3" s="32">
        <f>IF(C3=0,"",_xlfn.MAXIFS(Experiments!$V$2:$V$61,Experiments!$B$2:$B$61,A3))</f>
        <v/>
      </c>
      <c r="E3" s="32">
        <f>IF(C3=0,"",_xlfn.MINIFS(Experiments!$V$2:$V$61,Experiments!$B$2:$B$61,A3))</f>
        <v/>
      </c>
      <c r="F3" s="32">
        <f>IF(C3=0,"",_xlfn.MAXIFS(Experiments!$U$2:$U$61,Experiments!$B$2:$B$61,A3))</f>
        <v/>
      </c>
      <c r="G3" s="36">
        <f>IF(C3&gt;0,"Có","Chưa")</f>
        <v/>
      </c>
      <c r="H3" s="37" t="inlineStr">
        <is>
          <t>Tốt nhất: loss-ce-sqrt với val macro-F1=0.8590. Ngưỡng nhiễu baseline 2σ=0.0037.</t>
        </is>
      </c>
    </row>
    <row r="4" ht="15" customHeight="1" s="20">
      <c r="A4" s="31" t="inlineStr">
        <is>
          <t>optimizer</t>
        </is>
      </c>
      <c r="B4" s="36">
        <f>COUNTIF(Experiments!$B$2:$B$61,A4)</f>
        <v/>
      </c>
      <c r="C4" s="36">
        <f>COUNTIFS(Experiments!$B$2:$B$61,A4,Experiments!$V$2:$V$61,"&lt;&gt;")</f>
        <v/>
      </c>
      <c r="D4" s="32">
        <f>IF(C4=0,"",_xlfn.MAXIFS(Experiments!$V$2:$V$61,Experiments!$B$2:$B$61,A4))</f>
        <v/>
      </c>
      <c r="E4" s="32">
        <f>IF(C4=0,"",_xlfn.MINIFS(Experiments!$V$2:$V$61,Experiments!$B$2:$B$61,A4))</f>
        <v/>
      </c>
      <c r="F4" s="32">
        <f>IF(C4=0,"",_xlfn.MAXIFS(Experiments!$U$2:$U$61,Experiments!$B$2:$B$61,A4))</f>
        <v/>
      </c>
      <c r="G4" s="36">
        <f>IF(C4&gt;0,"Có","Chưa")</f>
        <v/>
      </c>
      <c r="H4" s="37" t="inlineStr">
        <is>
          <t>Tốt nhất: opt-adamw-lr0p003 với val macro-F1=0.8757. Ngưỡng nhiễu baseline 2σ=0.0037.</t>
        </is>
      </c>
    </row>
    <row r="5" ht="15" customHeight="1" s="20">
      <c r="A5" s="31" t="inlineStr">
        <is>
          <t>hparam</t>
        </is>
      </c>
      <c r="B5" s="36">
        <f>COUNTIF(Experiments!$B$2:$B$61,A5)</f>
        <v/>
      </c>
      <c r="C5" s="36">
        <f>COUNTIFS(Experiments!$B$2:$B$61,A5,Experiments!$V$2:$V$61,"&lt;&gt;")</f>
        <v/>
      </c>
      <c r="D5" s="32">
        <f>IF(C5=0,"",_xlfn.MAXIFS(Experiments!$V$2:$V$61,Experiments!$B$2:$B$61,A5))</f>
        <v/>
      </c>
      <c r="E5" s="32">
        <f>IF(C5=0,"",_xlfn.MINIFS(Experiments!$V$2:$V$61,Experiments!$B$2:$B$61,A5))</f>
        <v/>
      </c>
      <c r="F5" s="32">
        <f>IF(C5=0,"",_xlfn.MAXIFS(Experiments!$U$2:$U$61,Experiments!$B$2:$B$61,A5))</f>
        <v/>
      </c>
      <c r="G5" s="36">
        <f>IF(C5&gt;0,"Có","Chưa")</f>
        <v/>
      </c>
      <c r="H5" s="37" t="inlineStr">
        <is>
          <t>Tốt nhất: epochs-40 với val macro-F1=0.8743. Ngưỡng nhiễu baseline 2σ=0.0037.</t>
        </is>
      </c>
    </row>
    <row r="6" ht="15" customHeight="1" s="20">
      <c r="A6" s="31" t="inlineStr">
        <is>
          <t>dropout</t>
        </is>
      </c>
      <c r="B6" s="36">
        <f>COUNTIF(Experiments!$B$2:$B$61,A6)</f>
        <v/>
      </c>
      <c r="C6" s="36">
        <f>COUNTIFS(Experiments!$B$2:$B$61,A6,Experiments!$V$2:$V$61,"&lt;&gt;")</f>
        <v/>
      </c>
      <c r="D6" s="32">
        <f>IF(C6=0,"",_xlfn.MAXIFS(Experiments!$V$2:$V$61,Experiments!$B$2:$B$61,A6))</f>
        <v/>
      </c>
      <c r="E6" s="32">
        <f>IF(C6=0,"",_xlfn.MINIFS(Experiments!$V$2:$V$61,Experiments!$B$2:$B$61,A6))</f>
        <v/>
      </c>
      <c r="F6" s="32">
        <f>IF(C6=0,"",_xlfn.MAXIFS(Experiments!$U$2:$U$61,Experiments!$B$2:$B$61,A6))</f>
        <v/>
      </c>
      <c r="G6" s="36">
        <f>IF(C6&gt;0,"Có","Chưa")</f>
        <v/>
      </c>
      <c r="H6" s="37" t="inlineStr">
        <is>
          <t>Tốt nhất: drop-0p1 với val macro-F1=0.8368. Ngưỡng nhiễu baseline 2σ=0.0037.</t>
        </is>
      </c>
    </row>
    <row r="7" ht="15" customHeight="1" s="20">
      <c r="A7" s="31" t="inlineStr">
        <is>
          <t>clipping</t>
        </is>
      </c>
      <c r="B7" s="36">
        <f>COUNTIF(Experiments!$B$2:$B$61,A7)</f>
        <v/>
      </c>
      <c r="C7" s="36">
        <f>COUNTIFS(Experiments!$B$2:$B$61,A7,Experiments!$V$2:$V$61,"&lt;&gt;")</f>
        <v/>
      </c>
      <c r="D7" s="32">
        <f>IF(C7=0,"",_xlfn.MAXIFS(Experiments!$V$2:$V$61,Experiments!$B$2:$B$61,A7))</f>
        <v/>
      </c>
      <c r="E7" s="32">
        <f>IF(C7=0,"",_xlfn.MINIFS(Experiments!$V$2:$V$61,Experiments!$B$2:$B$61,A7))</f>
        <v/>
      </c>
      <c r="F7" s="32">
        <f>IF(C7=0,"",_xlfn.MAXIFS(Experiments!$U$2:$U$61,Experiments!$B$2:$B$61,A7))</f>
        <v/>
      </c>
      <c r="G7" s="36">
        <f>IF(C7&gt;0,"Có","Chưa")</f>
        <v/>
      </c>
      <c r="H7" s="37" t="inlineStr">
        <is>
          <t>Tốt nhất: clip-normal với val macro-F1=0.8507. Ngưỡng nhiễu baseline 2σ=0.0037.</t>
        </is>
      </c>
    </row>
    <row r="8" ht="15" customHeight="1" s="20">
      <c r="A8" s="31" t="inlineStr">
        <is>
          <t>amp</t>
        </is>
      </c>
      <c r="B8" s="36">
        <f>COUNTIF(Experiments!$B$2:$B$61,A8)</f>
        <v/>
      </c>
      <c r="C8" s="36">
        <f>COUNTIFS(Experiments!$B$2:$B$61,A8,Experiments!$V$2:$V$61,"&lt;&gt;")</f>
        <v/>
      </c>
      <c r="D8" s="32">
        <f>IF(C8=0,"",_xlfn.MAXIFS(Experiments!$V$2:$V$61,Experiments!$B$2:$B$61,A8))</f>
        <v/>
      </c>
      <c r="E8" s="32">
        <f>IF(C8=0,"",_xlfn.MINIFS(Experiments!$V$2:$V$61,Experiments!$B$2:$B$61,A8))</f>
        <v/>
      </c>
      <c r="F8" s="32">
        <f>IF(C8=0,"",_xlfn.MAXIFS(Experiments!$U$2:$U$61,Experiments!$B$2:$B$61,A8))</f>
        <v/>
      </c>
      <c r="G8" s="36">
        <f>IF(C8&gt;0,"Có","Chưa")</f>
        <v/>
      </c>
      <c r="H8" s="37" t="inlineStr">
        <is>
          <t>Tốt nhất: amp-bf16 với val macro-F1=0.8547. Ngưỡng nhiễu baseline 2σ=0.0037.</t>
        </is>
      </c>
    </row>
    <row r="9" ht="15" customHeight="1" s="20">
      <c r="A9" s="31" t="inlineStr">
        <is>
          <t>init</t>
        </is>
      </c>
      <c r="B9" s="36">
        <f>COUNTIF(Experiments!$B$2:$B$61,A9)</f>
        <v/>
      </c>
      <c r="C9" s="36">
        <f>COUNTIFS(Experiments!$B$2:$B$61,A9,Experiments!$V$2:$V$61,"&lt;&gt;")</f>
        <v/>
      </c>
      <c r="D9" s="32">
        <f>IF(C9=0,"",_xlfn.MAXIFS(Experiments!$V$2:$V$61,Experiments!$B$2:$B$61,A9))</f>
        <v/>
      </c>
      <c r="E9" s="32">
        <f>IF(C9=0,"",_xlfn.MINIFS(Experiments!$V$2:$V$61,Experiments!$B$2:$B$61,A9))</f>
        <v/>
      </c>
      <c r="F9" s="32">
        <f>IF(C9=0,"",_xlfn.MAXIFS(Experiments!$U$2:$U$61,Experiments!$B$2:$B$61,A9))</f>
        <v/>
      </c>
      <c r="G9" s="36">
        <f>IF(C9&gt;0,"Có","Chưa")</f>
        <v/>
      </c>
      <c r="H9" s="37" t="inlineStr">
        <is>
          <t>Tốt nhất: init-xavier với val macro-F1=0.8585. Ngưỡng nhiễu baseline 2σ=0.0037.</t>
        </is>
      </c>
    </row>
    <row r="10" ht="15" customHeight="1" s="20">
      <c r="A10" s="31" t="inlineStr">
        <is>
          <t>final</t>
        </is>
      </c>
      <c r="B10" s="36">
        <f>COUNTIF(Experiments!$B$2:$B$61,A10)</f>
        <v/>
      </c>
      <c r="C10" s="36">
        <f>COUNTIFS(Experiments!$B$2:$B$61,A10,Experiments!$V$2:$V$61,"&lt;&gt;")</f>
        <v/>
      </c>
      <c r="D10" s="32">
        <f>IF(C10=0,"",_xlfn.MAXIFS(Experiments!$V$2:$V$61,Experiments!$B$2:$B$61,A10))</f>
        <v/>
      </c>
      <c r="E10" s="32">
        <f>IF(C10=0,"",_xlfn.MINIFS(Experiments!$V$2:$V$61,Experiments!$B$2:$B$61,A10))</f>
        <v/>
      </c>
      <c r="F10" s="32">
        <f>IF(C10=0,"",_xlfn.MAXIFS(Experiments!$U$2:$U$61,Experiments!$B$2:$B$61,A10))</f>
        <v/>
      </c>
      <c r="G10" s="36" t="inlineStr">
        <is>
          <t>—</t>
        </is>
      </c>
      <c r="H10" s="37" t="inlineStr">
        <is>
          <t>Tốt nhất: candidate-b-s2 với val macro-F1=0.8866. Ngưỡng nhiễu baseline 2σ=0.0037.</t>
        </is>
      </c>
    </row>
    <row r="11" ht="15" customHeight="1" s="20">
      <c r="A11" s="31" t="inlineStr">
        <is>
          <t>other</t>
        </is>
      </c>
      <c r="B11" s="36">
        <f>COUNTIF(Experiments!$B$2:$B$61,A11)</f>
        <v/>
      </c>
      <c r="C11" s="36">
        <f>COUNTIFS(Experiments!$B$2:$B$61,A11,Experiments!$V$2:$V$61,"&lt;&gt;")</f>
        <v/>
      </c>
      <c r="D11" s="32">
        <f>IF(C11=0,"",_xlfn.MAXIFS(Experiments!$V$2:$V$61,Experiments!$B$2:$B$61,A11))</f>
        <v/>
      </c>
      <c r="E11" s="32">
        <f>IF(C11=0,"",_xlfn.MINIFS(Experiments!$V$2:$V$61,Experiments!$B$2:$B$61,A11))</f>
        <v/>
      </c>
      <c r="F11" s="32">
        <f>IF(C11=0,"",_xlfn.MAXIFS(Experiments!$U$2:$U$61,Experiments!$B$2:$B$61,A11))</f>
        <v/>
      </c>
      <c r="G11" s="36" t="inlineStr">
        <is>
          <t>—</t>
        </is>
      </c>
      <c r="H11" s="37" t="n"/>
    </row>
    <row r="12"/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2026-10-03T06:14:54Z</dcterms:modified>
  <cp:revision>0</cp:revision>
</cp:coreProperties>
</file>